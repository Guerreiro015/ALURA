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50FDF54E-5380-4188-92ED-5BA02A792BCD}" xr6:coauthVersionLast="47" xr6:coauthVersionMax="47" xr10:uidLastSave="{00000000-0000-0000-0000-000000000000}"/>
  <bookViews>
    <workbookView showSheetTabs="0" xWindow="-120" yWindow="-120" windowWidth="29040" windowHeight="15840" tabRatio="865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VENDAS'!$A$1:$M$1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</definedNames>
  <calcPr calcId="191029"/>
  <pivotCaches>
    <pivotCache cacheId="85" r:id="rId10"/>
    <pivotCache cacheId="158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8" i="2" s="1"/>
  <c r="U3" i="2" s="1"/>
  <c r="F8" i="2"/>
  <c r="C6" i="2"/>
  <c r="C8" i="2"/>
  <c r="C10" i="2"/>
  <c r="C12" i="2"/>
  <c r="H7" i="2"/>
  <c r="L4" i="2"/>
  <c r="F10" i="2" s="1"/>
  <c r="Q2" i="10"/>
  <c r="F12" i="2"/>
  <c r="C14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<sst xmlns="http://schemas.openxmlformats.org/spreadsheetml/2006/main" count="206" uniqueCount="97">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</sst>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44" fontId="10" fillId="0" borderId="28" xfId="0" applyNumberFormat="1" applyFont="1" applyBorder="1" applyAlignment="1">
      <alignment horizontal="left" vertical="center"/>
    </xf>
    <xf numFmtId="44" fontId="6" fillId="4" borderId="29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164" fontId="0" fillId="6" borderId="23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30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6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4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4" xfId="0" applyBorder="1"/>
    <xf numFmtId="0" fontId="0" fillId="0" borderId="24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4" fontId="0" fillId="0" borderId="31" xfId="0" applyNumberFormat="1" applyBorder="1" applyAlignment="1">
      <alignment horizontal="center" vertical="center"/>
    </xf>
    <xf numFmtId="44" fontId="18" fillId="0" borderId="32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4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5" borderId="4" xfId="0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left" vertical="center"/>
      <protection locked="0"/>
    </xf>
    <xf numFmtId="14" fontId="0" fillId="4" borderId="28" xfId="0" applyNumberFormat="1" applyFill="1" applyBorder="1" applyAlignment="1" applyProtection="1">
      <alignment horizontal="left" vertical="center"/>
      <protection locked="0"/>
    </xf>
    <xf numFmtId="44" fontId="6" fillId="4" borderId="28" xfId="1" applyFont="1" applyFill="1" applyBorder="1" applyAlignment="1" applyProtection="1">
      <alignment horizontal="left" vertical="center"/>
      <protection locked="0"/>
    </xf>
    <xf numFmtId="0" fontId="0" fillId="4" borderId="28" xfId="0" applyFill="1" applyBorder="1" applyAlignment="1" applyProtection="1">
      <alignment horizontal="center" vertical="center"/>
      <protection locked="0"/>
    </xf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5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30" xfId="0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43" fontId="0" fillId="7" borderId="14" xfId="3" applyFont="1" applyFill="1" applyBorder="1" applyAlignment="1">
      <alignment vertical="center"/>
    </xf>
    <xf numFmtId="44" fontId="17" fillId="0" borderId="24" xfId="0" applyNumberFormat="1" applyFont="1" applyBorder="1"/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208"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VENDA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196704</xdr:colOff>
      <xdr:row>16</xdr:row>
      <xdr:rowOff>51254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190354</xdr:colOff>
      <xdr:row>16</xdr:row>
      <xdr:rowOff>60779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1695450</xdr:colOff>
      <xdr:row>12</xdr:row>
      <xdr:rowOff>53975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152400</xdr:colOff>
      <xdr:row>0</xdr:row>
      <xdr:rowOff>581025</xdr:rowOff>
    </xdr:from>
    <xdr:to>
      <xdr:col>2</xdr:col>
      <xdr:colOff>1676400</xdr:colOff>
      <xdr:row>12</xdr:row>
      <xdr:rowOff>34925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1950" y="581025"/>
              <a:ext cx="17049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0.290891666664" createdVersion="8" refreshedVersion="8" minRefreshableVersion="3" recordCount="1" xr:uid="{1A54CCBD-93F6-4711-AEA5-D48CE85FE5CD}">
  <cacheSource type="worksheet">
    <worksheetSource ref="A1:F1048576" sheet="COMISSÕES"/>
  </cacheSource>
  <cacheFields count="6">
    <cacheField name="NOME" numFmtId="0">
      <sharedItems containsNonDate="0" containsBlank="1" count="7">
        <m/>
        <s v="Menina das Flores" u="1"/>
        <s v="Alon Pinheiro" u="1"/>
        <s v="Carolina Codeceira" u="1"/>
        <s v="Beatriz Leite Júnior" u="1"/>
        <s v="Adriane de Carvalho Gomes" u="1"/>
        <s v="Bruna dos Santos Gomes" u="1"/>
      </sharedItems>
    </cacheField>
    <cacheField name="SERVICO" numFmtId="0">
      <sharedItems containsNonDate="0" containsBlank="1" count="4">
        <m/>
        <s v="CABE" u="1"/>
        <s v="CABIDE" u="1"/>
        <s v="JARDIM" u="1"/>
      </sharedItems>
    </cacheField>
    <cacheField name="DATA SERVIÇO" numFmtId="0">
      <sharedItems containsNonDate="0" containsString="0" containsBlank="1"/>
    </cacheField>
    <cacheField name="COMISSÃO" numFmtId="43">
      <sharedItems containsNonDate="0" containsString="0" containsBlank="1"/>
    </cacheField>
    <cacheField name="MÊS SERVICO" numFmtId="0">
      <sharedItems containsNonDate="0" containsString="0" containsBlank="1" containsNumber="1" containsInteger="1" minValue="1" maxValue="9" count="7">
        <m/>
        <n v="6" u="1"/>
        <n v="7" u="1"/>
        <n v="1" u="1"/>
        <n v="3" u="1"/>
        <n v="9" u="1"/>
        <n v="4" u="1"/>
      </sharedItems>
    </cacheField>
    <cacheField name="ANO SERVICO" numFmtId="0">
      <sharedItems containsNonDate="0" containsString="0" containsBlank="1" containsNumber="1" containsInteger="1" minValue="2022" maxValue="2024" count="4">
        <m/>
        <n v="2022" u="1"/>
        <n v="2023" u="1"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0.292657407408" createdVersion="8" refreshedVersion="8" minRefreshableVersion="3" recordCount="107" xr:uid="{5DA872E5-8AB0-4F23-A78F-3FB68F4D8A65}">
  <cacheSource type="worksheet">
    <worksheetSource ref="A1:M1048576" sheet="DADOS VENDAS"/>
  </cacheSource>
  <cacheFields count="13">
    <cacheField name="NOME" numFmtId="0">
      <sharedItems containsNonDate="0" containsBlank="1" count="9">
        <m/>
        <s v="" u="1"/>
        <s v="JOAO NINGUEM" u="1"/>
        <s v="Beatriz Leite Júnior" u="1"/>
        <s v="SICRANO DA SILVA" u="1"/>
        <s v="Marcela de Freitas" u="1"/>
        <s v="Matheus de Souza  " u="1"/>
        <s v="Isabella Ronfini" u="1"/>
        <s v="Bruna dos Santos Gomes" u="1"/>
      </sharedItems>
    </cacheField>
    <cacheField name="CPF" numFmtId="0">
      <sharedItems containsNonDate="0" containsString="0" containsBlank="1"/>
    </cacheField>
    <cacheField name="SERVIÇO" numFmtId="0">
      <sharedItems containsNonDate="0" containsBlank="1" count="11">
        <m/>
        <s v="" u="1"/>
        <s v="rtetey" u="1"/>
        <s v="CABE" u="1"/>
        <s v="CABIDE" u="1"/>
        <s v="outra coisa" u="1"/>
        <s v="devlaos" u="1"/>
        <s v="JARDIM" u="1"/>
        <s v="VIAGEM" u="1"/>
        <s v="desvanieo" u="1"/>
        <s v="de nco" u="1"/>
      </sharedItems>
    </cacheField>
    <cacheField name="DATA SERVIÇO" numFmtId="14">
      <sharedItems containsNonDate="0" containsDate="1" containsBlank="1" containsMixedTypes="1" minDate="2022-02-14T00:00:00" maxDate="2024-06-01T00:00:00" count="11">
        <m/>
        <s v="" u="1"/>
        <d v="2024-05-31T00:00:00" u="1"/>
        <d v="2023-04-12T00:00:00" u="1"/>
        <d v="2022-02-14T00:00:00" u="1"/>
        <d v="2024-04-05T00:00:00" u="1"/>
        <d v="2022-06-01T00:00:00" u="1"/>
        <d v="2023-03-05T00:00:00" u="1"/>
        <d v="2023-03-15T00:00:00" u="1"/>
        <d v="2023-04-30T00:00:00" u="1"/>
        <d v="2023-04-21T00:00:00" u="1"/>
      </sharedItems>
    </cacheField>
    <cacheField name="PAGAMENTO" numFmtId="14">
      <sharedItems containsNonDate="0" containsDate="1" containsBlank="1" containsMixedTypes="1" minDate="2022-03-14T00:00:00" maxDate="2025-01-31T00:00:00" count="77">
        <m/>
        <s v="" u="1"/>
        <d v="2022-04-14T00:00:00" u="1"/>
        <d v="2024-12-30T00:00:00" u="1"/>
        <d v="2022-09-01T00:00:00" u="1"/>
        <d v="2023-06-05T00:00:00" u="1"/>
        <d v="2024-06-05T00:00:00" u="1"/>
        <d v="2023-08-15T00:00:00" u="1"/>
        <d v="2023-05-12T00:00:00" u="1"/>
        <d v="2023-11-30T00:00:00" u="1"/>
        <d v="2024-03-21T00:00:00" u="1"/>
        <d v="2022-03-14T00:00:00" u="1"/>
        <d v="2024-11-30T00:00:00" u="1"/>
        <d v="2025-01-30T00:00:00" u="1"/>
        <d v="2022-08-01T00:00:00" u="1"/>
        <d v="2023-05-05T00:00:00" u="1"/>
        <d v="2024-05-05T00:00:00" u="1"/>
        <d v="2023-07-15T00:00:00" u="1"/>
        <d v="2023-10-30T00:00:00" u="1"/>
        <d v="2023-12-21T00:00:00" u="1"/>
        <d v="2024-02-21T00:00:00" u="1"/>
        <d v="2024-10-30T00:00:00" u="1"/>
        <d v="2022-07-01T00:00:00" u="1"/>
        <d v="2022-12-14T00:00:00" u="1"/>
        <d v="2023-02-14T00:00:00" u="1"/>
        <d v="2023-04-05T00:00:00" u="1"/>
        <d v="2023-06-15T00:00:00" u="1"/>
        <d v="2023-09-30T00:00:00" u="1"/>
        <d v="2023-11-21T00:00:00" u="1"/>
        <d v="2024-01-21T00:00:00" u="1"/>
        <d v="2024-09-30T00:00:00" u="1"/>
        <d v="2022-11-14T00:00:00" u="1"/>
        <d v="2023-01-14T00:00:00" u="1"/>
        <d v="2023-05-15T00:00:00" u="1"/>
        <d v="2023-08-30T00:00:00" u="1"/>
        <d v="2023-10-21T00:00:00" u="1"/>
        <d v="2024-08-30T00:00:00" u="1"/>
        <d v="2022-10-14T00:00:00" u="1"/>
        <d v="2023-04-15T00:00:00" u="1"/>
        <d v="2024-12-05T00:00:00" u="1"/>
        <d v="2023-07-30T00:00:00" u="1"/>
        <d v="2023-09-21T00:00:00" u="1"/>
        <d v="2023-11-12T00:00:00" u="1"/>
        <d v="2024-07-30T00:00:00" u="1"/>
        <d v="2022-09-14T00:00:00" u="1"/>
        <d v="2023-11-05T00:00:00" u="1"/>
        <d v="2024-11-05T00:00:00" u="1"/>
        <d v="2023-06-30T00:00:00" u="1"/>
        <d v="2023-08-21T00:00:00" u="1"/>
        <d v="2023-10-12T00:00:00" u="1"/>
        <d v="2024-06-30T00:00:00" u="1"/>
        <d v="2022-08-14T00:00:00" u="1"/>
        <d v="2023-10-05T00:00:00" u="1"/>
        <d v="2024-10-05T00:00:00" u="1"/>
        <d v="2023-12-15T00:00:00" u="1"/>
        <d v="2023-05-30T00:00:00" u="1"/>
        <d v="2023-07-21T00:00:00" u="1"/>
        <d v="2023-09-12T00:00:00" u="1"/>
        <d v="2022-07-14T00:00:00" u="1"/>
        <d v="2023-09-05T00:00:00" u="1"/>
        <d v="2024-09-05T00:00:00" u="1"/>
        <d v="2023-11-15T00:00:00" u="1"/>
        <d v="2024-01-15T00:00:00" u="1"/>
        <d v="2023-06-21T00:00:00" u="1"/>
        <d v="2023-08-12T00:00:00" u="1"/>
        <d v="2022-06-14T00:00:00" u="1"/>
        <d v="2023-08-05T00:00:00" u="1"/>
        <d v="2024-08-05T00:00:00" u="1"/>
        <d v="2023-10-15T00:00:00" u="1"/>
        <d v="2023-05-21T00:00:00" u="1"/>
        <d v="2023-07-12T00:00:00" u="1"/>
        <d v="2022-05-14T00:00:00" u="1"/>
        <d v="2023-07-05T00:00:00" u="1"/>
        <d v="2024-07-05T00:00:00" u="1"/>
        <d v="2023-06-12T00:00:00" u="1"/>
        <d v="2023-12-30T00:00:00" u="1"/>
        <d v="2024-04-21T00:00:00" u="1"/>
      </sharedItems>
    </cacheField>
    <cacheField name="VALOR SERVIÇO" numFmtId="44">
      <sharedItems containsNonDate="0" containsString="0" containsBlank="1"/>
    </cacheField>
    <cacheField name="PARCELAS" numFmtId="0">
      <sharedItems containsNonDate="0" containsString="0" containsBlank="1" containsNumber="1" containsInteger="1" minValue="3" maxValue="12" count="8">
        <m/>
        <n v="5" u="1"/>
        <n v="7" u="1"/>
        <n v="3" u="1"/>
        <n v="8" u="1"/>
        <n v="10" u="1"/>
        <n v="4" u="1"/>
        <n v="12" u="1"/>
      </sharedItems>
    </cacheField>
    <cacheField name="N_PARCELA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VALOR PARCELA" numFmtId="44">
      <sharedItems containsNonDate="0" containsString="0" containsBlank="1"/>
    </cacheField>
    <cacheField name="MÊS SERVIÇO" numFmtId="0">
      <sharedItems containsNonDate="0" containsString="0" containsBlank="1" containsNumber="1" containsInteger="1" minValue="2" maxValue="6" count="6">
        <m/>
        <n v="5" u="1"/>
        <n v="2" u="1"/>
        <n v="6" u="1"/>
        <n v="3" u="1"/>
        <n v="4" u="1"/>
      </sharedItems>
    </cacheField>
    <cacheField name="ANO SERVIÇO" numFmtId="0">
      <sharedItems containsNonDate="0" containsString="0" containsBlank="1" containsNumber="1" containsInteger="1" minValue="2022" maxValue="2024" count="4">
        <m/>
        <n v="2022" u="1"/>
        <n v="2023" u="1"/>
        <n v="2024" u="1"/>
      </sharedItems>
    </cacheField>
    <cacheField name="MÊS PAGAMENTO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ANO PAGAMENTO" numFmtId="0">
      <sharedItems containsNonDate="0" containsString="0" containsBlank="1" containsNumber="1" containsInteger="1" minValue="2022" maxValue="2025" count="5">
        <m/>
        <n v="2022" u="1"/>
        <n v="2025" u="1"/>
        <n v="2023" u="1"/>
        <n v="2024" u="1"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"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  <r>
    <x v="0"/>
    <m/>
    <x v="0"/>
    <x v="0"/>
    <x v="0"/>
    <m/>
    <x v="0"/>
    <x v="0"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1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5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11">
        <item m="1" x="1"/>
        <item m="1" x="10"/>
        <item m="1" x="9"/>
        <item m="1" x="6"/>
        <item m="1" x="5"/>
        <item m="1" x="2"/>
        <item x="0"/>
        <item m="1" x="8"/>
        <item m="1" x="7"/>
        <item m="1" x="4"/>
        <item m="1"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7">
        <item m="1" x="1"/>
        <item m="1" x="11"/>
        <item m="1" x="2"/>
        <item m="1" x="71"/>
        <item m="1" x="65"/>
        <item m="1" x="58"/>
        <item m="1" x="51"/>
        <item m="1" x="44"/>
        <item m="1" x="37"/>
        <item m="1" x="31"/>
        <item m="1" x="23"/>
        <item m="1" x="32"/>
        <item m="1" x="24"/>
        <item m="1" x="38"/>
        <item m="1" x="8"/>
        <item m="1" x="33"/>
        <item m="1" x="74"/>
        <item m="1" x="26"/>
        <item m="1" x="70"/>
        <item m="1" x="17"/>
        <item m="1" x="64"/>
        <item m="1" x="7"/>
        <item m="1" x="57"/>
        <item m="1" x="49"/>
        <item m="1" x="68"/>
        <item m="1" x="42"/>
        <item m="1" x="61"/>
        <item m="1" x="54"/>
        <item m="1" x="62"/>
        <item x="0"/>
        <item m="1" x="50"/>
        <item m="1" x="43"/>
        <item m="1" x="36"/>
        <item m="1" x="30"/>
        <item m="1" x="21"/>
        <item m="1" x="12"/>
        <item m="1" x="3"/>
        <item m="1" x="13"/>
        <item m="1" x="69"/>
        <item m="1" x="63"/>
        <item m="1" x="56"/>
        <item m="1" x="48"/>
        <item m="1" x="41"/>
        <item m="1" x="35"/>
        <item m="1" x="28"/>
        <item m="1" x="19"/>
        <item m="1" x="29"/>
        <item m="1" x="20"/>
        <item m="1" x="10"/>
        <item m="1" x="76"/>
        <item m="1" x="55"/>
        <item m="1" x="47"/>
        <item m="1" x="40"/>
        <item m="1" x="34"/>
        <item m="1" x="27"/>
        <item m="1" x="18"/>
        <item m="1" x="9"/>
        <item m="1" x="75"/>
        <item m="1" x="16"/>
        <item m="1" x="6"/>
        <item m="1" x="73"/>
        <item m="1" x="67"/>
        <item m="1" x="60"/>
        <item m="1" x="53"/>
        <item m="1" x="46"/>
        <item m="1" x="39"/>
        <item m="1" x="25"/>
        <item m="1" x="15"/>
        <item m="1" x="5"/>
        <item m="1" x="72"/>
        <item m="1" x="66"/>
        <item m="1" x="59"/>
        <item m="1" x="52"/>
        <item m="1" x="45"/>
        <item m="1" x="22"/>
        <item m="1" x="14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insertBlankRow="1" defaultSubtotal="0">
      <items count="5">
        <item m="1" x="1"/>
        <item sd="0" m="1" x="3"/>
        <item m="1" x="4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">
    <i>
      <x v="3"/>
      <x v="12"/>
    </i>
    <i t="blank">
      <x v="3"/>
    </i>
    <i t="grand">
      <x/>
    </i>
  </rowItems>
  <colItems count="1">
    <i/>
  </colItems>
  <dataFields count="1">
    <dataField name="PAGAMENTOS" fld="8" baseField="3" baseItem="0" numFmtId="44"/>
  </dataFields>
  <formats count="8">
    <format dxfId="1154">
      <pivotArea field="4" type="button" dataOnly="0" labelOnly="1" outline="0"/>
    </format>
    <format dxfId="1153">
      <pivotArea field="2" type="button" dataOnly="0" labelOnly="1" outline="0"/>
    </format>
    <format dxfId="1152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1151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150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149">
      <pivotArea field="11" type="button" dataOnly="0" labelOnly="1" outline="0" axis="axisRow" fieldPosition="1"/>
    </format>
    <format dxfId="1148">
      <pivotArea dataOnly="0" labelOnly="1" grandRow="1" outline="0" fieldPosition="0"/>
    </format>
    <format dxfId="1147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1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5" firstHeaderRow="1" firstDataRow="1" firstDataCol="5"/>
  <pivotFields count="13">
    <pivotField axis="axisRow" compact="0" outline="0" showAll="0" defaultSubtotal="0">
      <items count="9">
        <item h="1" m="1" x="1"/>
        <item m="1" x="8"/>
        <item m="1" x="7"/>
        <item m="1" x="2"/>
        <item m="1" x="6"/>
        <item m="1" x="4"/>
        <item x="0"/>
        <item h="1" m="1" x="5"/>
        <item h="1"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1">
        <item m="1" x="1"/>
        <item m="1" x="10"/>
        <item m="1" x="9"/>
        <item m="1" x="6"/>
        <item m="1" x="5"/>
        <item m="1" x="2"/>
        <item x="0"/>
        <item m="1" x="8"/>
        <item m="1" x="7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8">
        <item m="1" x="3"/>
        <item m="1" x="6"/>
        <item m="1" x="1"/>
        <item m="1" x="2"/>
        <item m="1" x="5"/>
        <item m="1" x="7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defaultSubtotal="0">
      <items count="5">
        <item m="1" x="1"/>
        <item m="1" x="3"/>
        <item m="1" x="4"/>
        <item x="0"/>
        <item m="1" x="2"/>
      </items>
    </pivotField>
  </pivotFields>
  <rowFields count="5">
    <field x="0"/>
    <field x="2"/>
    <field x="7"/>
    <field x="11"/>
    <field x="12"/>
  </rowFields>
  <rowItems count="3">
    <i>
      <x v="6"/>
      <x v="6"/>
      <x v="12"/>
      <x v="12"/>
      <x v="3"/>
    </i>
    <i t="blank" r="2">
      <x v="12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1161">
      <pivotArea field="6" type="button" dataOnly="0" labelOnly="1" outline="0"/>
    </format>
    <format dxfId="1160">
      <pivotArea outline="0" fieldPosition="0">
        <references count="1">
          <reference field="4294967294" count="1">
            <x v="0"/>
          </reference>
        </references>
      </pivotArea>
    </format>
    <format dxfId="1159">
      <pivotArea outline="0" collapsedLevelsAreSubtotals="1" fieldPosition="0"/>
    </format>
    <format dxfId="1158">
      <pivotArea dataOnly="0" labelOnly="1" outline="0" axis="axisValues" fieldPosition="0"/>
    </format>
    <format dxfId="1157">
      <pivotArea field="7" type="button" dataOnly="0" labelOnly="1" outline="0" axis="axisRow" fieldPosition="2"/>
    </format>
    <format dxfId="1156">
      <pivotArea field="11" type="button" dataOnly="0" labelOnly="1" outline="0" axis="axisRow" fieldPosition="3"/>
    </format>
    <format dxfId="1155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1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1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insertBlankRow="1" defaultSubtotal="0">
      <items count="5">
        <item m="1" x="1"/>
        <item m="1" x="3"/>
        <item m="1" x="4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2">
    <i>
      <x v="3"/>
    </i>
    <i t="grand">
      <x/>
    </i>
  </rowItems>
  <colItems count="1">
    <i/>
  </colItems>
  <dataFields count="1">
    <dataField name="PAGAMENTOS" fld="8" baseField="3" baseItem="0" numFmtId="44"/>
  </dataFields>
  <formats count="25">
    <format dxfId="1186">
      <pivotArea type="all" dataOnly="0" outline="0" fieldPosition="0"/>
    </format>
    <format dxfId="1185">
      <pivotArea outline="0" collapsedLevelsAreSubtotals="1" fieldPosition="0"/>
    </format>
    <format dxfId="1184">
      <pivotArea field="12" type="button" dataOnly="0" labelOnly="1" outline="0" axis="axisRow" fieldPosition="0"/>
    </format>
    <format dxfId="1183">
      <pivotArea dataOnly="0" labelOnly="1" outline="0" fieldPosition="0">
        <references count="1">
          <reference field="12" count="0"/>
        </references>
      </pivotArea>
    </format>
    <format dxfId="1182">
      <pivotArea dataOnly="0" labelOnly="1" grandRow="1" outline="0" fieldPosition="0"/>
    </format>
    <format dxfId="1181">
      <pivotArea dataOnly="0" labelOnly="1" outline="0" axis="axisValues" fieldPosition="0"/>
    </format>
    <format dxfId="1180">
      <pivotArea type="all" dataOnly="0" outline="0" fieldPosition="0"/>
    </format>
    <format dxfId="1179">
      <pivotArea outline="0" collapsedLevelsAreSubtotals="1" fieldPosition="0"/>
    </format>
    <format dxfId="1178">
      <pivotArea field="12" type="button" dataOnly="0" labelOnly="1" outline="0" axis="axisRow" fieldPosition="0"/>
    </format>
    <format dxfId="1177">
      <pivotArea dataOnly="0" labelOnly="1" outline="0" fieldPosition="0">
        <references count="1">
          <reference field="12" count="0"/>
        </references>
      </pivotArea>
    </format>
    <format dxfId="1176">
      <pivotArea dataOnly="0" labelOnly="1" grandRow="1" outline="0" fieldPosition="0"/>
    </format>
    <format dxfId="1175">
      <pivotArea dataOnly="0" labelOnly="1" outline="0" axis="axisValues" fieldPosition="0"/>
    </format>
    <format dxfId="1174">
      <pivotArea type="all" dataOnly="0" outline="0" fieldPosition="0"/>
    </format>
    <format dxfId="1173">
      <pivotArea outline="0" collapsedLevelsAreSubtotals="1" fieldPosition="0"/>
    </format>
    <format dxfId="1172">
      <pivotArea field="12" type="button" dataOnly="0" labelOnly="1" outline="0" axis="axisRow" fieldPosition="0"/>
    </format>
    <format dxfId="1171">
      <pivotArea dataOnly="0" labelOnly="1" outline="0" fieldPosition="0">
        <references count="1">
          <reference field="12" count="0"/>
        </references>
      </pivotArea>
    </format>
    <format dxfId="1170">
      <pivotArea dataOnly="0" labelOnly="1" grandRow="1" outline="0" fieldPosition="0"/>
    </format>
    <format dxfId="1169">
      <pivotArea dataOnly="0" labelOnly="1" outline="0" axis="axisValues" fieldPosition="0"/>
    </format>
    <format dxfId="1168">
      <pivotArea type="all" dataOnly="0" outline="0" fieldPosition="0"/>
    </format>
    <format dxfId="1167">
      <pivotArea outline="0" collapsedLevelsAreSubtotals="1" fieldPosition="0"/>
    </format>
    <format dxfId="1166">
      <pivotArea dataOnly="0" labelOnly="1" outline="0" fieldPosition="0">
        <references count="1">
          <reference field="12" count="0"/>
        </references>
      </pivotArea>
    </format>
    <format dxfId="1165">
      <pivotArea field="12" type="button" dataOnly="0" labelOnly="1" outline="0" axis="axisRow" fieldPosition="0"/>
    </format>
    <format dxfId="1164">
      <pivotArea dataOnly="0" labelOnly="1" outline="0" axis="axisValues" fieldPosition="0"/>
    </format>
    <format dxfId="1163">
      <pivotArea grandRow="1" outline="0" collapsedLevelsAreSubtotals="1" fieldPosition="0"/>
    </format>
    <format dxfId="116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158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>
  <location ref="G2:I4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m="1" x="2"/>
        <item m="1" x="4"/>
        <item m="1" x="5"/>
        <item m="1"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2">
    <i>
      <x v="3"/>
      <x v="4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1121">
      <pivotArea field="10" type="button" dataOnly="0" labelOnly="1" outline="0" axis="axisRow" fieldPosition="0"/>
    </format>
    <format dxfId="1120">
      <pivotArea dataOnly="0" labelOnly="1" outline="0" fieldPosition="0">
        <references count="1">
          <reference field="10" count="0"/>
        </references>
      </pivotArea>
    </format>
    <format dxfId="1119">
      <pivotArea dataOnly="0" labelOnly="1" grandRow="1" outline="0" fieldPosition="0"/>
    </format>
    <format dxfId="1118">
      <pivotArea field="9" type="button" dataOnly="0" labelOnly="1" outline="0" axis="axisRow" fieldPosition="1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field="10" type="button" dataOnly="0" labelOnly="1" outline="0" axis="axisRow" fieldPosition="0"/>
    </format>
    <format dxfId="1114">
      <pivotArea field="9" type="button" dataOnly="0" labelOnly="1" outline="0" axis="axisRow" fieldPosition="1"/>
    </format>
    <format dxfId="1113">
      <pivotArea dataOnly="0" labelOnly="1" outline="0" fieldPosition="0">
        <references count="1">
          <reference field="10" count="0"/>
        </references>
      </pivotArea>
    </format>
    <format dxfId="1112">
      <pivotArea dataOnly="0" labelOnly="1" grandRow="1" outline="0" fieldPosition="0"/>
    </format>
    <format dxfId="1111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1110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1109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1108">
      <pivotArea dataOnly="0" labelOnly="1" outline="0" axis="axisValues" fieldPosition="0"/>
    </format>
    <format dxfId="1107">
      <pivotArea type="all" dataOnly="0" outline="0" fieldPosition="0"/>
    </format>
    <format dxfId="1106">
      <pivotArea outline="0" collapsedLevelsAreSubtotals="1" fieldPosition="0"/>
    </format>
    <format dxfId="1105">
      <pivotArea field="10" type="button" dataOnly="0" labelOnly="1" outline="0" axis="axisRow" fieldPosition="0"/>
    </format>
    <format dxfId="1104">
      <pivotArea field="9" type="button" dataOnly="0" labelOnly="1" outline="0" axis="axisRow" fieldPosition="1"/>
    </format>
    <format dxfId="1103">
      <pivotArea dataOnly="0" labelOnly="1" outline="0" fieldPosition="0">
        <references count="1">
          <reference field="10" count="0"/>
        </references>
      </pivotArea>
    </format>
    <format dxfId="1102">
      <pivotArea dataOnly="0" labelOnly="1" grandRow="1" outline="0" fieldPosition="0"/>
    </format>
    <format dxfId="1101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1100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1099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1098">
      <pivotArea dataOnly="0" labelOnly="1" outline="0" axis="axisValues" fieldPosition="0"/>
    </format>
    <format dxfId="1097">
      <pivotArea type="all" dataOnly="0" outline="0" fieldPosition="0"/>
    </format>
    <format dxfId="1096">
      <pivotArea outline="0" collapsedLevelsAreSubtotals="1" fieldPosition="0"/>
    </format>
    <format dxfId="1095">
      <pivotArea field="10" type="button" dataOnly="0" labelOnly="1" outline="0" axis="axisRow" fieldPosition="0"/>
    </format>
    <format dxfId="1094">
      <pivotArea field="9" type="button" dataOnly="0" labelOnly="1" outline="0" axis="axisRow" fieldPosition="1"/>
    </format>
    <format dxfId="1093">
      <pivotArea dataOnly="0" labelOnly="1" outline="0" fieldPosition="0">
        <references count="1">
          <reference field="10" count="0"/>
        </references>
      </pivotArea>
    </format>
    <format dxfId="1092">
      <pivotArea dataOnly="0" labelOnly="1" grandRow="1" outline="0" fieldPosition="0"/>
    </format>
    <format dxfId="1091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1090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1089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1088">
      <pivotArea dataOnly="0" labelOnly="1" outline="0" axis="axisValues" fieldPosition="0"/>
    </format>
    <format dxfId="1087">
      <pivotArea grandRow="1" outline="0" collapsedLevelsAreSubtotals="1" fieldPosition="0"/>
    </format>
    <format dxfId="1086">
      <pivotArea grandRow="1" outline="0" collapsedLevelsAreSubtotals="1" fieldPosition="0"/>
    </format>
    <format dxfId="108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1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3" firstHeaderRow="1" firstDataRow="1" firstDataCol="3"/>
  <pivotFields count="13">
    <pivotField axis="axisRow" compact="0" outline="0" showAll="0" defaultSubtotal="0">
      <items count="9">
        <item h="1" m="1" x="1"/>
        <item m="1" x="8"/>
        <item m="1" x="7"/>
        <item m="1" x="2"/>
        <item m="1" x="6"/>
        <item m="1" x="4"/>
        <item h="1" x="0"/>
        <item h="1" m="1" x="5"/>
        <item h="1"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1">
        <item m="1" x="1"/>
        <item m="1" x="10"/>
        <item m="1" x="9"/>
        <item m="1" x="6"/>
        <item m="1" x="7"/>
        <item m="1" x="5"/>
        <item m="1" x="2"/>
        <item m="1" x="8"/>
        <item x="0"/>
        <item m="1" x="4"/>
        <item m="1" x="3"/>
      </items>
    </pivotField>
    <pivotField axis="axisRow" compact="0" outline="0" showAll="0" defaultSubtotal="0">
      <items count="11">
        <item m="1" x="1"/>
        <item m="1" x="4"/>
        <item m="1" x="8"/>
        <item m="1" x="3"/>
        <item m="1" x="10"/>
        <item m="1" x="2"/>
        <item x="0"/>
        <item m="1" x="9"/>
        <item m="1" x="5"/>
        <item m="1" x="7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6">
        <item m="1" x="2"/>
        <item m="1" x="4"/>
        <item m="1" x="5"/>
        <item m="1" x="1"/>
        <item m="1" x="3"/>
        <item x="0"/>
      </items>
    </pivotField>
    <pivotField compact="0" outline="0" showAll="0" defaultSubtotal="0">
      <items count="4">
        <item m="1" x="1"/>
        <item m="1" x="2"/>
        <item m="1" x="3"/>
        <item x="0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1">
    <i t="grand">
      <x/>
    </i>
  </rowItems>
  <colItems count="1">
    <i/>
  </colItems>
  <dataFields count="1">
    <dataField name="Soma de VALOR PARCELA" fld="8" baseField="2" baseItem="1" numFmtId="44"/>
  </dataFields>
  <formats count="25">
    <format dxfId="1146">
      <pivotArea field="3" type="button" dataOnly="0" labelOnly="1" outline="0" axis="axisRow" fieldPosition="0"/>
    </format>
    <format dxfId="1145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1144">
      <pivotArea dataOnly="0" labelOnly="1" grandRow="1" outline="0" fieldPosition="0"/>
    </format>
    <format dxfId="1143">
      <pivotArea type="all" dataOnly="0" outline="0" fieldPosition="0"/>
    </format>
    <format dxfId="1142">
      <pivotArea outline="0" collapsedLevelsAreSubtotals="1" fieldPosition="0"/>
    </format>
    <format dxfId="1141">
      <pivotArea field="3" type="button" dataOnly="0" labelOnly="1" outline="0" axis="axisRow" fieldPosition="0"/>
    </format>
    <format dxfId="1140">
      <pivotArea field="0" type="button" dataOnly="0" labelOnly="1" outline="0" axis="axisRow" fieldPosition="1"/>
    </format>
    <format dxfId="1139">
      <pivotArea field="2" type="button" dataOnly="0" labelOnly="1" outline="0" axis="axisRow" fieldPosition="2"/>
    </format>
    <format dxfId="1138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1137">
      <pivotArea dataOnly="0" labelOnly="1" grandRow="1" outline="0" fieldPosition="0"/>
    </format>
    <format dxfId="1136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1"/>
          </reference>
        </references>
      </pivotArea>
    </format>
    <format dxfId="1135">
      <pivotArea dataOnly="0" labelOnly="1" outline="0" fieldPosition="0">
        <references count="2">
          <reference field="0" count="1">
            <x v="4"/>
          </reference>
          <reference field="3" count="1" selected="0">
            <x v="2"/>
          </reference>
        </references>
      </pivotArea>
    </format>
    <format dxfId="1134">
      <pivotArea dataOnly="0" labelOnly="1" outline="0" fieldPosition="0">
        <references count="2">
          <reference field="0" count="1">
            <x v="5"/>
          </reference>
          <reference field="3" count="1" selected="0">
            <x v="3"/>
          </reference>
        </references>
      </pivotArea>
    </format>
    <format dxfId="1133">
      <pivotArea dataOnly="0" labelOnly="1" outline="0" fieldPosition="0">
        <references count="2">
          <reference field="0" count="1">
            <x v="1"/>
          </reference>
          <reference field="3" count="1" selected="0">
            <x v="4"/>
          </reference>
        </references>
      </pivotArea>
    </format>
    <format dxfId="1132">
      <pivotArea dataOnly="0" labelOnly="1" outline="0" fieldPosition="0">
        <references count="2">
          <reference field="0" count="1">
            <x v="5"/>
          </reference>
          <reference field="3" count="1" selected="0">
            <x v="5"/>
          </reference>
        </references>
      </pivotArea>
    </format>
    <format dxfId="1131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1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1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2"/>
          </reference>
        </references>
      </pivotArea>
    </format>
    <format dxfId="1127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3"/>
          </reference>
        </references>
      </pivotArea>
    </format>
    <format dxfId="1126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4"/>
          </reference>
        </references>
      </pivotArea>
    </format>
    <format dxfId="1125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5"/>
          </reference>
        </references>
      </pivotArea>
    </format>
    <format dxfId="1124">
      <pivotArea dataOnly="0" labelOnly="1" outline="0" axis="axisValues" fieldPosition="0"/>
    </format>
    <format dxfId="1123">
      <pivotArea grandRow="1" outline="0" collapsedLevelsAreSubtotals="1" fieldPosition="0"/>
    </format>
    <format dxfId="112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3" firstHeaderRow="1" firstDataRow="1" firstDataCol="4"/>
  <pivotFields count="6">
    <pivotField axis="axisRow" compact="0" outline="0" showAll="0" insertBlankRow="1" defaultSubtotal="0">
      <items count="7">
        <item m="1" x="5"/>
        <item m="1" x="2"/>
        <item m="1" x="4"/>
        <item m="1" x="3"/>
        <item m="1" x="1"/>
        <item h="1" x="0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m="1" x="2"/>
        <item m="1" x="1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7">
        <item m="1" x="3"/>
        <item m="1" x="4"/>
        <item m="1" x="6"/>
        <item m="1" x="2"/>
        <item m="1" x="5"/>
        <item x="0"/>
        <item m="1" x="1"/>
      </items>
    </pivotField>
    <pivotField axis="axisRow" compact="0" outline="0" showAll="0" defaultSubtotal="0">
      <items count="4">
        <item m="1" x="2"/>
        <item x="0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">
    <i t="grand">
      <x/>
    </i>
  </rowItems>
  <colItems count="1">
    <i/>
  </colItems>
  <dataFields count="1">
    <dataField name="Soma de COMISSÃO" fld="3" baseField="1" baseItem="1" numFmtId="44"/>
  </dataFields>
  <formats count="23">
    <format dxfId="1084">
      <pivotArea type="all" dataOnly="0" outline="0" fieldPosition="0"/>
    </format>
    <format dxfId="1083">
      <pivotArea outline="0" collapsedLevelsAreSubtotals="1" fieldPosition="0"/>
    </format>
    <format dxfId="1082">
      <pivotArea field="0" type="button" dataOnly="0" labelOnly="1" outline="0" axis="axisRow" fieldPosition="0"/>
    </format>
    <format dxfId="1081">
      <pivotArea field="5" type="button" dataOnly="0" labelOnly="1" outline="0" axis="axisRow" fieldPosition="1"/>
    </format>
    <format dxfId="1080">
      <pivotArea field="4" type="button" dataOnly="0" labelOnly="1" outline="0" axis="axisRow" fieldPosition="2"/>
    </format>
    <format dxfId="1079">
      <pivotArea field="1" type="button" dataOnly="0" labelOnly="1" outline="0" axis="axisRow" fieldPosition="3"/>
    </format>
    <format dxfId="1078">
      <pivotArea dataOnly="0" labelOnly="1" outline="0" fieldPosition="0">
        <references count="1">
          <reference field="0" count="0"/>
        </references>
      </pivotArea>
    </format>
    <format dxfId="1077">
      <pivotArea dataOnly="0" labelOnly="1" grandRow="1" outline="0" fieldPosition="0"/>
    </format>
    <format dxfId="1076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1075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1074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073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072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1071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1064">
      <pivotArea dataOnly="0" labelOnly="1" outline="0" axis="axisValues" fieldPosition="0"/>
    </format>
    <format dxfId="1063">
      <pivotArea field="5" type="button" dataOnly="0" labelOnly="1" outline="0" axis="axisRow" fieldPosition="1"/>
    </format>
    <format dxfId="1062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3">
        <i x="5" s="1" nd="1"/>
        <i x="2" s="1" nd="1"/>
        <i x="6" s="1" nd="1"/>
        <i x="11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5">
        <i x="1" s="1" nd="1"/>
        <i x="3" s="1" nd="1"/>
        <i x="4" s="1" nd="1"/>
        <i x="2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 crossFilter="showItemsWithNoData">
      <items count="6">
        <i x="2" s="1" nd="1"/>
        <i x="4" s="1" nd="1"/>
        <i x="5" s="1" nd="1"/>
        <i x="1" s="1" nd="1"/>
        <i x="3" s="1" nd="1"/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 crossFilter="showItemsWithNoData">
      <items count="4">
        <i x="1" s="1" nd="1"/>
        <i x="2" s="1" nd="1"/>
        <i x="3" s="1" nd="1"/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7">
        <i x="3" s="1" nd="1"/>
        <i x="4" s="1" nd="1"/>
        <i x="6" s="1" nd="1"/>
        <i x="1" s="1" nd="1"/>
        <i x="2" s="1" nd="1"/>
        <i x="5" s="1" nd="1"/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4">
        <i x="1" s="1" nd="1"/>
        <i x="2" s="1" nd="1"/>
        <i x="3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1207" dataDxfId="1205" headerRowBorderDxfId="1206" tableBorderDxfId="1204" totalsRowBorderDxfId="1203">
  <tableColumns count="5">
    <tableColumn id="1" xr3:uid="{41BB5AD6-9B55-439B-A267-DB978778B081}" name="Nome" dataDxfId="1202"/>
    <tableColumn id="2" xr3:uid="{86672887-135C-41F3-9F41-8482917D20CA}" name="CPF" dataDxfId="1201"/>
    <tableColumn id="3" xr3:uid="{B5EE3CD0-BC0F-41A9-BFE6-58DE08DE13F1}" name="CARGO" dataDxfId="1200"/>
    <tableColumn id="4" xr3:uid="{81D1564E-685F-4375-9298-A35D849043B6}" name="EMAIL" dataDxfId="1199"/>
    <tableColumn id="5" xr3:uid="{A18125EC-5DCD-4DC7-B688-F3C3E0A62EBC}" name="DATA CADASTRO" dataDxfId="1198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197" dataDxfId="1195" headerRowBorderDxfId="1196" tableBorderDxfId="1194" totalsRowBorderDxfId="1193">
  <tableColumns count="6">
    <tableColumn id="1" xr3:uid="{A992D616-629B-4ED4-9DDE-A36E7EE6A19C}" name="Nome" dataDxfId="1192"/>
    <tableColumn id="2" xr3:uid="{BB8A4FB3-8149-4CC2-BF5E-D4B56B342B1E}" name="CPF" dataDxfId="1191"/>
    <tableColumn id="3" xr3:uid="{1E0D060B-32BE-4491-92A7-1E999D2E55A0}" name="CARGO" dataDxfId="1190"/>
    <tableColumn id="4" xr3:uid="{D7CA9B26-5B17-439F-B431-F248B3CA6288}" name="EMAIL" dataDxfId="1189"/>
    <tableColumn id="5" xr3:uid="{13F9A03D-D712-4CB8-A749-74739C3539DA}" name="Admissão" dataDxfId="1188" dataCellStyle="Moeda"/>
    <tableColumn id="6" xr3:uid="{A4871059-E9CC-4DBF-9FBF-CA4D96BB84BE}" name="COMISSÃO" dataDxfId="1187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workbookViewId="0">
      <pane xSplit="19" ySplit="29" topLeftCell="T42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2" spans="1:19" ht="18.75" thickBot="1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121">
        <f ca="1">TODAY()</f>
        <v>45110</v>
      </c>
      <c r="R2" s="122"/>
      <c r="S2" s="54"/>
    </row>
    <row r="3" spans="1:19" ht="61.5">
      <c r="A3" s="54"/>
      <c r="B3" s="55"/>
      <c r="C3" s="55"/>
      <c r="D3" s="55"/>
      <c r="E3" s="55"/>
      <c r="F3" s="55"/>
      <c r="G3" s="120"/>
      <c r="H3" s="120"/>
      <c r="I3" s="120"/>
      <c r="J3" s="120"/>
      <c r="K3" s="120"/>
      <c r="L3" s="120"/>
      <c r="M3" s="120"/>
      <c r="N3" s="55"/>
      <c r="O3" s="55"/>
      <c r="P3" s="55"/>
      <c r="Q3" s="55"/>
      <c r="R3" s="55"/>
      <c r="S3" s="54"/>
    </row>
    <row r="4" spans="1:19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4"/>
    </row>
    <row r="5" spans="1:19">
      <c r="A5" s="54"/>
      <c r="B5" s="55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5"/>
      <c r="S5" s="54"/>
    </row>
    <row r="6" spans="1:19">
      <c r="A6" s="54"/>
      <c r="B6" s="55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5"/>
      <c r="S6" s="54"/>
    </row>
    <row r="7" spans="1:19">
      <c r="A7" s="54"/>
      <c r="B7" s="55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5"/>
      <c r="S7" s="54"/>
    </row>
    <row r="8" spans="1:19">
      <c r="A8" s="54"/>
      <c r="B8" s="55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5"/>
      <c r="S8" s="54"/>
    </row>
    <row r="9" spans="1:19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4"/>
    </row>
    <row r="10" spans="1:19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4"/>
    </row>
    <row r="11" spans="1:19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4"/>
    </row>
    <row r="12" spans="1:19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4"/>
    </row>
    <row r="13" spans="1:19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4"/>
    </row>
    <row r="14" spans="1:19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4"/>
    </row>
    <row r="15" spans="1:19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4"/>
    </row>
    <row r="16" spans="1:19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4"/>
    </row>
    <row r="17" spans="1:19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4"/>
    </row>
    <row r="18" spans="1:19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4"/>
    </row>
    <row r="19" spans="1:19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4"/>
    </row>
    <row r="20" spans="1:19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4"/>
    </row>
    <row r="21" spans="1:19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4"/>
    </row>
    <row r="22" spans="1:19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4"/>
    </row>
    <row r="23" spans="1:19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4"/>
    </row>
    <row r="24" spans="1:19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4"/>
    </row>
    <row r="25" spans="1:19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4"/>
    </row>
    <row r="26" spans="1:19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4"/>
    </row>
    <row r="27" spans="1:19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4"/>
    </row>
    <row r="28" spans="1:19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4"/>
    </row>
    <row r="29" spans="1:19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showRowColHeaders="0" workbookViewId="0">
      <pane xSplit="6" ySplit="28" topLeftCell="G29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6" customFormat="1">
      <c r="A1" s="43" t="s">
        <v>55</v>
      </c>
      <c r="B1" s="44" t="s">
        <v>1</v>
      </c>
      <c r="C1" s="44" t="s">
        <v>56</v>
      </c>
      <c r="D1" s="44" t="s">
        <v>57</v>
      </c>
      <c r="E1" s="45" t="s">
        <v>15</v>
      </c>
    </row>
    <row r="2" spans="1:5" s="33" customFormat="1">
      <c r="A2" s="34" t="s">
        <v>12</v>
      </c>
      <c r="B2" s="37">
        <v>7303330976</v>
      </c>
      <c r="C2" s="35" t="s">
        <v>31</v>
      </c>
      <c r="D2" s="35" t="s">
        <v>59</v>
      </c>
      <c r="E2" s="36" t="s">
        <v>16</v>
      </c>
    </row>
    <row r="3" spans="1:5" s="33" customFormat="1">
      <c r="A3" s="34" t="s">
        <v>13</v>
      </c>
      <c r="B3" s="37">
        <v>7303330975</v>
      </c>
      <c r="C3" s="35" t="s">
        <v>31</v>
      </c>
      <c r="D3" s="35" t="s">
        <v>60</v>
      </c>
      <c r="E3" s="36">
        <v>35977</v>
      </c>
    </row>
    <row r="4" spans="1:5" s="33" customFormat="1">
      <c r="A4" s="34" t="s">
        <v>24</v>
      </c>
      <c r="B4" s="37">
        <v>7303330977</v>
      </c>
      <c r="C4" s="35" t="s">
        <v>31</v>
      </c>
      <c r="D4" s="35" t="s">
        <v>61</v>
      </c>
      <c r="E4" s="36">
        <v>37021</v>
      </c>
    </row>
    <row r="5" spans="1:5" s="33" customFormat="1">
      <c r="A5" s="34" t="s">
        <v>26</v>
      </c>
      <c r="B5" s="37">
        <v>8244227427</v>
      </c>
      <c r="C5" s="35" t="s">
        <v>27</v>
      </c>
      <c r="D5" s="35" t="s">
        <v>62</v>
      </c>
      <c r="E5" s="36">
        <v>43545</v>
      </c>
    </row>
    <row r="6" spans="1:5" s="33" customFormat="1">
      <c r="A6" s="34" t="s">
        <v>28</v>
      </c>
      <c r="B6" s="37">
        <v>14042620752</v>
      </c>
      <c r="C6" s="35" t="s">
        <v>29</v>
      </c>
      <c r="D6" s="35" t="s">
        <v>63</v>
      </c>
      <c r="E6" s="36">
        <v>43555</v>
      </c>
    </row>
    <row r="7" spans="1:5" s="33" customFormat="1">
      <c r="A7" s="34" t="s">
        <v>30</v>
      </c>
      <c r="B7" s="37">
        <v>6677993262</v>
      </c>
      <c r="C7" s="35" t="s">
        <v>31</v>
      </c>
      <c r="D7" s="35" t="s">
        <v>64</v>
      </c>
      <c r="E7" s="36">
        <v>43565</v>
      </c>
    </row>
    <row r="8" spans="1:5" s="33" customFormat="1">
      <c r="A8" s="34" t="s">
        <v>32</v>
      </c>
      <c r="B8" s="37">
        <v>13481923178</v>
      </c>
      <c r="C8" s="35" t="s">
        <v>33</v>
      </c>
      <c r="D8" s="35" t="s">
        <v>65</v>
      </c>
      <c r="E8" s="36">
        <v>43575</v>
      </c>
    </row>
    <row r="9" spans="1:5" s="33" customFormat="1">
      <c r="A9" s="34" t="s">
        <v>34</v>
      </c>
      <c r="B9" s="37">
        <v>7303330974</v>
      </c>
      <c r="C9" s="35" t="s">
        <v>33</v>
      </c>
      <c r="D9" s="35" t="s">
        <v>65</v>
      </c>
      <c r="E9" s="36">
        <v>43585</v>
      </c>
    </row>
    <row r="10" spans="1:5" s="33" customFormat="1">
      <c r="A10" s="34" t="s">
        <v>35</v>
      </c>
      <c r="B10" s="37">
        <v>8534793687</v>
      </c>
      <c r="C10" s="35" t="s">
        <v>31</v>
      </c>
      <c r="D10" s="35" t="s">
        <v>64</v>
      </c>
      <c r="E10" s="36">
        <v>43595</v>
      </c>
    </row>
    <row r="11" spans="1:5" s="33" customFormat="1">
      <c r="A11" s="34" t="s">
        <v>36</v>
      </c>
      <c r="B11" s="37">
        <v>12790015618</v>
      </c>
      <c r="C11" s="35" t="s">
        <v>37</v>
      </c>
      <c r="D11" s="35" t="s">
        <v>66</v>
      </c>
      <c r="E11" s="36">
        <v>43605</v>
      </c>
    </row>
    <row r="12" spans="1:5" s="33" customFormat="1">
      <c r="A12" s="34" t="s">
        <v>38</v>
      </c>
      <c r="B12" s="37">
        <v>10403073100</v>
      </c>
      <c r="C12" s="35" t="s">
        <v>27</v>
      </c>
      <c r="D12" s="35" t="s">
        <v>62</v>
      </c>
      <c r="E12" s="36">
        <v>43615</v>
      </c>
    </row>
    <row r="13" spans="1:5" s="33" customFormat="1">
      <c r="A13" s="34" t="s">
        <v>39</v>
      </c>
      <c r="B13" s="37">
        <v>8141976567</v>
      </c>
      <c r="C13" s="35" t="s">
        <v>33</v>
      </c>
      <c r="D13" s="35" t="s">
        <v>65</v>
      </c>
      <c r="E13" s="36">
        <v>43625</v>
      </c>
    </row>
    <row r="14" spans="1:5" s="33" customFormat="1">
      <c r="A14" s="34" t="s">
        <v>40</v>
      </c>
      <c r="B14" s="37">
        <v>13753218615</v>
      </c>
      <c r="C14" s="35" t="s">
        <v>33</v>
      </c>
      <c r="D14" s="35" t="s">
        <v>65</v>
      </c>
      <c r="E14" s="36">
        <v>43635</v>
      </c>
    </row>
    <row r="15" spans="1:5" s="33" customFormat="1">
      <c r="A15" s="34" t="s">
        <v>41</v>
      </c>
      <c r="B15" s="37">
        <v>13365514967</v>
      </c>
      <c r="C15" s="35" t="s">
        <v>27</v>
      </c>
      <c r="D15" s="35" t="s">
        <v>62</v>
      </c>
      <c r="E15" s="36">
        <v>43645</v>
      </c>
    </row>
    <row r="16" spans="1:5" s="33" customFormat="1">
      <c r="A16" s="34" t="s">
        <v>42</v>
      </c>
      <c r="B16" s="37">
        <v>10700047349</v>
      </c>
      <c r="C16" s="35" t="s">
        <v>27</v>
      </c>
      <c r="D16" s="35" t="s">
        <v>62</v>
      </c>
      <c r="E16" s="36">
        <v>43655</v>
      </c>
    </row>
    <row r="17" spans="1:5" s="33" customFormat="1">
      <c r="A17" s="34" t="s">
        <v>43</v>
      </c>
      <c r="B17" s="37">
        <v>13335156751</v>
      </c>
      <c r="C17" s="35" t="s">
        <v>29</v>
      </c>
      <c r="D17" s="35" t="s">
        <v>63</v>
      </c>
      <c r="E17" s="36">
        <v>43665</v>
      </c>
    </row>
    <row r="18" spans="1:5" s="33" customFormat="1">
      <c r="A18" s="34" t="s">
        <v>44</v>
      </c>
      <c r="B18" s="37">
        <v>13672562963</v>
      </c>
      <c r="C18" s="35" t="s">
        <v>33</v>
      </c>
      <c r="D18" s="35" t="s">
        <v>65</v>
      </c>
      <c r="E18" s="36">
        <v>43675</v>
      </c>
    </row>
    <row r="19" spans="1:5" s="33" customFormat="1">
      <c r="A19" s="34" t="s">
        <v>45</v>
      </c>
      <c r="B19" s="37">
        <v>14074531754</v>
      </c>
      <c r="C19" s="35" t="s">
        <v>46</v>
      </c>
      <c r="D19" s="35" t="s">
        <v>67</v>
      </c>
      <c r="E19" s="36">
        <v>43685</v>
      </c>
    </row>
    <row r="20" spans="1:5" s="33" customFormat="1">
      <c r="A20" s="34" t="s">
        <v>47</v>
      </c>
      <c r="B20" s="37">
        <v>11085752980</v>
      </c>
      <c r="C20" s="35" t="s">
        <v>31</v>
      </c>
      <c r="D20" s="35" t="s">
        <v>64</v>
      </c>
      <c r="E20" s="36">
        <v>43695</v>
      </c>
    </row>
    <row r="21" spans="1:5" s="33" customFormat="1">
      <c r="A21" s="34" t="s">
        <v>48</v>
      </c>
      <c r="B21" s="37">
        <v>13616340129</v>
      </c>
      <c r="C21" s="35" t="s">
        <v>31</v>
      </c>
      <c r="D21" s="35" t="s">
        <v>64</v>
      </c>
      <c r="E21" s="36">
        <v>43705</v>
      </c>
    </row>
    <row r="22" spans="1:5" s="33" customFormat="1">
      <c r="A22" s="34" t="s">
        <v>49</v>
      </c>
      <c r="B22" s="37">
        <v>12751153973</v>
      </c>
      <c r="C22" s="35" t="s">
        <v>37</v>
      </c>
      <c r="D22" s="35" t="s">
        <v>66</v>
      </c>
      <c r="E22" s="36">
        <v>43715</v>
      </c>
    </row>
    <row r="23" spans="1:5" s="33" customFormat="1">
      <c r="A23" s="34" t="s">
        <v>50</v>
      </c>
      <c r="B23" s="37">
        <v>15178223721</v>
      </c>
      <c r="C23" s="35" t="s">
        <v>37</v>
      </c>
      <c r="D23" s="35" t="s">
        <v>66</v>
      </c>
      <c r="E23" s="36">
        <v>43725</v>
      </c>
    </row>
    <row r="24" spans="1:5" s="33" customFormat="1">
      <c r="A24" s="34" t="s">
        <v>51</v>
      </c>
      <c r="B24" s="37">
        <v>10198144634</v>
      </c>
      <c r="C24" s="35" t="s">
        <v>31</v>
      </c>
      <c r="D24" s="35" t="s">
        <v>64</v>
      </c>
      <c r="E24" s="36">
        <v>43735</v>
      </c>
    </row>
    <row r="25" spans="1:5" s="33" customFormat="1">
      <c r="A25" s="34" t="s">
        <v>52</v>
      </c>
      <c r="B25" s="37">
        <v>12146480128</v>
      </c>
      <c r="C25" s="35" t="s">
        <v>46</v>
      </c>
      <c r="D25" s="35" t="s">
        <v>67</v>
      </c>
      <c r="E25" s="36">
        <v>43745</v>
      </c>
    </row>
    <row r="26" spans="1:5" s="33" customFormat="1">
      <c r="A26" s="34" t="s">
        <v>53</v>
      </c>
      <c r="B26" s="37">
        <v>9786760977</v>
      </c>
      <c r="C26" s="35" t="s">
        <v>37</v>
      </c>
      <c r="D26" s="35" t="s">
        <v>66</v>
      </c>
      <c r="E26" s="36">
        <v>43755</v>
      </c>
    </row>
    <row r="27" spans="1:5" s="33" customFormat="1">
      <c r="A27" s="34" t="s">
        <v>54</v>
      </c>
      <c r="B27" s="37">
        <v>14440278194</v>
      </c>
      <c r="C27" s="35" t="s">
        <v>27</v>
      </c>
      <c r="D27" s="35" t="s">
        <v>62</v>
      </c>
      <c r="E27" s="36">
        <v>43765</v>
      </c>
    </row>
    <row r="28" spans="1:5" s="33" customFormat="1">
      <c r="A28" s="38" t="s">
        <v>58</v>
      </c>
      <c r="B28" s="39">
        <v>12345678910</v>
      </c>
      <c r="C28" s="40" t="s">
        <v>27</v>
      </c>
      <c r="D28" s="40" t="s">
        <v>62</v>
      </c>
      <c r="E28" s="41">
        <v>43775</v>
      </c>
    </row>
    <row r="29" spans="1:5" s="33" customFormat="1">
      <c r="E29" s="42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1048576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31" t="s">
        <v>55</v>
      </c>
      <c r="B1" s="31" t="s">
        <v>1</v>
      </c>
      <c r="C1" s="31" t="s">
        <v>56</v>
      </c>
      <c r="D1" s="31" t="s">
        <v>57</v>
      </c>
      <c r="E1" s="31" t="s">
        <v>68</v>
      </c>
      <c r="F1" s="26" t="s">
        <v>25</v>
      </c>
    </row>
    <row r="2" spans="1:12">
      <c r="A2" s="27" t="s">
        <v>26</v>
      </c>
      <c r="B2" s="25">
        <v>8244227427</v>
      </c>
      <c r="C2" s="24" t="s">
        <v>27</v>
      </c>
      <c r="D2" t="s">
        <v>62</v>
      </c>
      <c r="E2" s="10">
        <v>43545</v>
      </c>
      <c r="F2" s="32">
        <v>0.1</v>
      </c>
    </row>
    <row r="3" spans="1:12">
      <c r="A3" s="27" t="s">
        <v>28</v>
      </c>
      <c r="B3" s="25">
        <v>14042620752</v>
      </c>
      <c r="C3" s="24" t="s">
        <v>29</v>
      </c>
      <c r="D3" t="s">
        <v>63</v>
      </c>
      <c r="E3" s="10">
        <v>43555</v>
      </c>
      <c r="F3" s="32">
        <v>0.15</v>
      </c>
      <c r="H3" s="49"/>
    </row>
    <row r="4" spans="1:12">
      <c r="A4" s="27" t="s">
        <v>30</v>
      </c>
      <c r="B4" s="25">
        <v>6677993262</v>
      </c>
      <c r="C4" s="24" t="s">
        <v>31</v>
      </c>
      <c r="D4" t="s">
        <v>64</v>
      </c>
      <c r="E4" s="10">
        <v>43565</v>
      </c>
      <c r="F4" s="32">
        <v>0.02</v>
      </c>
      <c r="H4" s="50"/>
    </row>
    <row r="5" spans="1:12">
      <c r="A5" s="27" t="s">
        <v>32</v>
      </c>
      <c r="B5" s="25">
        <v>13481923178</v>
      </c>
      <c r="C5" s="24" t="s">
        <v>33</v>
      </c>
      <c r="D5" t="s">
        <v>65</v>
      </c>
      <c r="E5" s="10">
        <v>43575</v>
      </c>
      <c r="F5" s="32">
        <v>0.35</v>
      </c>
      <c r="H5" s="50"/>
      <c r="J5" s="49"/>
    </row>
    <row r="6" spans="1:12">
      <c r="A6" s="27" t="s">
        <v>34</v>
      </c>
      <c r="B6" s="25">
        <v>7303330974</v>
      </c>
      <c r="C6" s="24" t="s">
        <v>33</v>
      </c>
      <c r="D6" t="s">
        <v>65</v>
      </c>
      <c r="E6" s="10">
        <v>43585</v>
      </c>
      <c r="F6" s="32">
        <v>0.2</v>
      </c>
      <c r="H6" s="50"/>
      <c r="J6" s="50"/>
    </row>
    <row r="7" spans="1:12">
      <c r="A7" s="27" t="s">
        <v>35</v>
      </c>
      <c r="B7" s="25">
        <v>8534793687</v>
      </c>
      <c r="C7" s="24" t="s">
        <v>31</v>
      </c>
      <c r="D7" t="s">
        <v>64</v>
      </c>
      <c r="E7" s="10">
        <v>43595</v>
      </c>
      <c r="F7" s="32">
        <v>0.05</v>
      </c>
      <c r="H7" s="51"/>
      <c r="J7" s="50"/>
    </row>
    <row r="8" spans="1:12">
      <c r="A8" s="27" t="s">
        <v>69</v>
      </c>
      <c r="B8" s="25" t="s">
        <v>70</v>
      </c>
      <c r="C8" s="24" t="s">
        <v>71</v>
      </c>
      <c r="D8" s="7" t="s">
        <v>72</v>
      </c>
      <c r="E8" s="10">
        <v>45017</v>
      </c>
      <c r="F8" s="32">
        <v>0.55000000000000004</v>
      </c>
      <c r="H8" s="50"/>
      <c r="J8" s="50"/>
    </row>
    <row r="9" spans="1:12">
      <c r="A9" s="27" t="s">
        <v>77</v>
      </c>
      <c r="B9" s="25" t="s">
        <v>78</v>
      </c>
      <c r="C9" s="24" t="s">
        <v>79</v>
      </c>
      <c r="D9" s="7" t="s">
        <v>80</v>
      </c>
      <c r="E9" s="10">
        <v>45768</v>
      </c>
      <c r="F9" s="32">
        <v>0.1</v>
      </c>
      <c r="H9" s="52"/>
      <c r="I9" s="33"/>
      <c r="J9" s="53"/>
      <c r="K9" s="33"/>
      <c r="L9" s="33"/>
    </row>
    <row r="10" spans="1:12">
      <c r="A10" s="27"/>
      <c r="B10" s="25"/>
      <c r="C10" s="24"/>
      <c r="E10" s="10"/>
      <c r="H10" s="52"/>
      <c r="I10" s="33"/>
      <c r="J10" s="52"/>
      <c r="K10" s="33"/>
      <c r="L10" s="33"/>
    </row>
    <row r="11" spans="1:12">
      <c r="A11" s="27"/>
      <c r="B11" s="25"/>
      <c r="C11" s="24"/>
      <c r="E11" s="10"/>
      <c r="H11" s="53"/>
      <c r="I11" s="33"/>
      <c r="J11" s="52"/>
      <c r="K11" s="33"/>
      <c r="L11" s="33"/>
    </row>
    <row r="12" spans="1:12">
      <c r="A12" s="27"/>
      <c r="B12" s="25"/>
      <c r="C12" s="24"/>
      <c r="E12" s="10"/>
      <c r="H12" s="52"/>
      <c r="I12" s="33"/>
      <c r="J12" s="52"/>
      <c r="K12" s="33"/>
      <c r="L12" s="33"/>
    </row>
    <row r="13" spans="1:12">
      <c r="A13" s="27"/>
      <c r="B13" s="25"/>
      <c r="C13" s="24"/>
      <c r="E13" s="10"/>
      <c r="H13" s="52"/>
      <c r="I13" s="33"/>
      <c r="J13" s="53"/>
      <c r="K13" s="33"/>
      <c r="L13" s="33"/>
    </row>
    <row r="14" spans="1:12">
      <c r="A14" s="27"/>
      <c r="B14" s="25"/>
      <c r="C14" s="24"/>
      <c r="E14" s="10"/>
      <c r="H14" s="52"/>
      <c r="I14" s="33"/>
      <c r="J14" s="52"/>
      <c r="K14" s="33"/>
      <c r="L14" s="33"/>
    </row>
    <row r="15" spans="1:12">
      <c r="A15" s="27"/>
      <c r="B15" s="25"/>
      <c r="C15" s="24"/>
      <c r="E15" s="10"/>
      <c r="H15" s="33"/>
      <c r="I15" s="33"/>
      <c r="J15" s="52"/>
      <c r="K15" s="33"/>
      <c r="L15" s="33"/>
    </row>
    <row r="16" spans="1:12">
      <c r="A16" s="27"/>
      <c r="B16" s="25"/>
      <c r="C16" s="24"/>
      <c r="E16" s="10"/>
      <c r="H16" s="33"/>
      <c r="I16" s="33"/>
      <c r="J16" s="52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  <row r="26" spans="1:12"/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6" topLeftCell="N17" activePane="bottomRight" state="frozen"/>
      <selection pane="topRight" activeCell="N1" sqref="N1"/>
      <selection pane="bottomLeft" activeCell="A17" sqref="A17"/>
      <selection pane="bottomRight" activeCell="F9" sqref="F9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67" hidden="1" customWidth="1"/>
    <col min="23" max="23" width="10.140625" style="67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4" t="s">
        <v>11</v>
      </c>
      <c r="T1" s="22" t="s">
        <v>82</v>
      </c>
      <c r="U1" s="22" t="s">
        <v>23</v>
      </c>
      <c r="V1" s="64" t="s">
        <v>7</v>
      </c>
      <c r="W1" s="64" t="s">
        <v>76</v>
      </c>
      <c r="X1" s="22" t="s">
        <v>9</v>
      </c>
      <c r="Y1" s="22" t="s">
        <v>19</v>
      </c>
      <c r="Z1" s="22" t="s">
        <v>20</v>
      </c>
      <c r="AA1" s="65" t="s">
        <v>21</v>
      </c>
      <c r="AB1" s="65" t="s">
        <v>22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8" t="str">
        <f t="shared" ref="P2:P7" si="0">IF(G7&lt;&gt;"",$C$6,"")</f>
        <v/>
      </c>
      <c r="Q2" s="68" t="str">
        <f>IF(G7&lt;&gt;"",$C$8,"")</f>
        <v/>
      </c>
      <c r="R2" s="68" t="str">
        <f>IF(G7&lt;&gt;"",$F$6,"")</f>
        <v/>
      </c>
      <c r="S2" s="69" t="str">
        <f>IF(G7&lt;&gt;"",$F$7,"")</f>
        <v/>
      </c>
      <c r="T2" s="69" t="str">
        <f>IF(G7&lt;&gt;"",H7,"")</f>
        <v/>
      </c>
      <c r="U2" s="70" t="str">
        <f>IF(G7&lt;&gt;"",$F$9,"")</f>
        <v/>
      </c>
      <c r="V2" s="71" t="str">
        <f>IF(G7&lt;&gt;"",$F$11,"")</f>
        <v/>
      </c>
      <c r="W2" s="71" t="str">
        <f>IF(G7&lt;&gt;"",G7,"")</f>
        <v/>
      </c>
      <c r="X2" s="70" t="str">
        <f>IF(G7&lt;&gt;"",$F$12,"")</f>
        <v/>
      </c>
      <c r="Y2" s="66" t="str">
        <f>IF(G7&lt;&gt;"",MONTH(S2),"")</f>
        <v/>
      </c>
      <c r="Z2" s="66" t="str">
        <f>IF(G7&lt;&gt;"",YEAR(S2),"")</f>
        <v/>
      </c>
      <c r="AA2" s="66" t="str">
        <f>IF(G7&lt;&gt;"",MONTH(T2),"")</f>
        <v/>
      </c>
      <c r="AB2" s="66" t="str">
        <f>IF(G7&lt;&gt;"",YEAR(T2),"")</f>
        <v/>
      </c>
    </row>
    <row r="3" spans="1:28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68" t="str">
        <f t="shared" si="0"/>
        <v/>
      </c>
      <c r="Q3" s="68" t="str">
        <f t="shared" ref="Q3:Q7" si="1">IF(G8&lt;&gt;"",$C$8,"")</f>
        <v/>
      </c>
      <c r="R3" s="68" t="str">
        <f t="shared" ref="R3:R7" si="2">IF(G8&lt;&gt;"",$F$6,"")</f>
        <v/>
      </c>
      <c r="S3" s="69" t="str">
        <f t="shared" ref="S3:S7" si="3">IF(G8&lt;&gt;"",$F$7,"")</f>
        <v/>
      </c>
      <c r="T3" s="69" t="str">
        <f t="shared" ref="T3:T7" si="4">IF(G8&lt;&gt;"",H8,"")</f>
        <v/>
      </c>
      <c r="U3" s="70" t="str">
        <f t="shared" ref="U3:U7" si="5">IF(G8&lt;&gt;"",$F$9,"")</f>
        <v/>
      </c>
      <c r="V3" s="71" t="str">
        <f t="shared" ref="V3:V7" si="6">IF(G8&lt;&gt;"",$F$11,"")</f>
        <v/>
      </c>
      <c r="W3" s="71" t="str">
        <f t="shared" ref="W3:W7" si="7">IF(G8&lt;&gt;"",G8,"")</f>
        <v/>
      </c>
      <c r="X3" s="70" t="str">
        <f t="shared" ref="X3:X7" si="8">IF(G8&lt;&gt;"",$F$12,"")</f>
        <v/>
      </c>
      <c r="Y3" s="66" t="str">
        <f t="shared" ref="Y3:Y7" si="9">IF(G8&lt;&gt;"",MONTH(S3),"")</f>
        <v/>
      </c>
      <c r="Z3" s="66" t="str">
        <f t="shared" ref="Z3:Z7" si="10">IF(G8&lt;&gt;"",YEAR(S3),"")</f>
        <v/>
      </c>
      <c r="AA3" s="66" t="str">
        <f t="shared" ref="AA3:AA7" si="11">IF(G8&lt;&gt;"",MONTH(T3),"")</f>
        <v/>
      </c>
      <c r="AB3" s="66" t="str">
        <f t="shared" ref="AB3:AB7" si="12">IF(G8&lt;&gt;"",YEAR(T3),"")</f>
        <v/>
      </c>
    </row>
    <row r="4" spans="1:28" ht="20.100000000000001" customHeight="1" thickBot="1">
      <c r="A4" s="2"/>
      <c r="B4" s="5" t="s">
        <v>4</v>
      </c>
      <c r="C4" s="115"/>
      <c r="D4" s="4"/>
      <c r="E4" s="4"/>
      <c r="F4" s="6" t="s">
        <v>81</v>
      </c>
      <c r="G4" s="126"/>
      <c r="H4" s="127"/>
      <c r="I4" s="128"/>
      <c r="J4" s="125" t="s">
        <v>25</v>
      </c>
      <c r="K4" s="125"/>
      <c r="L4" s="57" t="e">
        <f>VLOOKUP(G4,Tabela134[],6,'DADOS FUNCIONÁRIOS'!L270)</f>
        <v>#N/A</v>
      </c>
      <c r="M4" s="4"/>
      <c r="N4" s="2"/>
      <c r="P4" s="68" t="str">
        <f t="shared" si="0"/>
        <v/>
      </c>
      <c r="Q4" s="68" t="str">
        <f t="shared" si="1"/>
        <v/>
      </c>
      <c r="R4" s="68" t="str">
        <f t="shared" si="2"/>
        <v/>
      </c>
      <c r="S4" s="69" t="str">
        <f t="shared" si="3"/>
        <v/>
      </c>
      <c r="T4" s="69" t="str">
        <f t="shared" si="4"/>
        <v/>
      </c>
      <c r="U4" s="70" t="str">
        <f t="shared" si="5"/>
        <v/>
      </c>
      <c r="V4" s="71" t="str">
        <f t="shared" si="6"/>
        <v/>
      </c>
      <c r="W4" s="71" t="str">
        <f t="shared" si="7"/>
        <v/>
      </c>
      <c r="X4" s="70" t="str">
        <f t="shared" si="8"/>
        <v/>
      </c>
      <c r="Y4" s="66" t="str">
        <f t="shared" si="9"/>
        <v/>
      </c>
      <c r="Z4" s="66" t="str">
        <f t="shared" si="10"/>
        <v/>
      </c>
      <c r="AA4" s="66" t="str">
        <f t="shared" si="11"/>
        <v/>
      </c>
      <c r="AB4" s="66" t="str">
        <f t="shared" si="12"/>
        <v/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8" t="str">
        <f t="shared" si="0"/>
        <v/>
      </c>
      <c r="Q5" s="68" t="str">
        <f t="shared" si="1"/>
        <v/>
      </c>
      <c r="R5" s="68" t="str">
        <f t="shared" si="2"/>
        <v/>
      </c>
      <c r="S5" s="69" t="str">
        <f t="shared" si="3"/>
        <v/>
      </c>
      <c r="T5" s="69" t="str">
        <f t="shared" si="4"/>
        <v/>
      </c>
      <c r="U5" s="70" t="str">
        <f t="shared" si="5"/>
        <v/>
      </c>
      <c r="V5" s="71" t="str">
        <f t="shared" si="6"/>
        <v/>
      </c>
      <c r="W5" s="71" t="str">
        <f t="shared" si="7"/>
        <v/>
      </c>
      <c r="X5" s="70" t="str">
        <f t="shared" si="8"/>
        <v/>
      </c>
      <c r="Y5" s="66" t="str">
        <f t="shared" si="9"/>
        <v/>
      </c>
      <c r="Z5" s="66" t="str">
        <f t="shared" si="10"/>
        <v/>
      </c>
      <c r="AA5" s="66" t="str">
        <f t="shared" si="11"/>
        <v/>
      </c>
      <c r="AB5" s="66" t="str">
        <f t="shared" si="12"/>
        <v/>
      </c>
    </row>
    <row r="6" spans="1:28" ht="20.100000000000001" customHeight="1" thickBot="1">
      <c r="A6" s="2"/>
      <c r="B6" s="5" t="s">
        <v>0</v>
      </c>
      <c r="C6" s="61" t="str">
        <f>IFERROR(VLOOKUP("*"&amp;C4&amp;"*",'DADOS CLIENTES'!A:D,1,0),"ERRO")</f>
        <v>Nome</v>
      </c>
      <c r="D6" s="4"/>
      <c r="E6" s="6" t="s">
        <v>6</v>
      </c>
      <c r="F6" s="116"/>
      <c r="G6" s="123" t="s">
        <v>8</v>
      </c>
      <c r="H6" s="123"/>
      <c r="I6" s="123"/>
      <c r="J6" s="123"/>
      <c r="K6" s="123"/>
      <c r="L6" s="124"/>
      <c r="M6" s="4"/>
      <c r="N6" s="2"/>
      <c r="P6" s="68" t="str">
        <f t="shared" si="0"/>
        <v/>
      </c>
      <c r="Q6" s="68" t="str">
        <f t="shared" si="1"/>
        <v/>
      </c>
      <c r="R6" s="68" t="str">
        <f t="shared" si="2"/>
        <v/>
      </c>
      <c r="S6" s="69" t="str">
        <f t="shared" si="3"/>
        <v/>
      </c>
      <c r="T6" s="69" t="str">
        <f t="shared" si="4"/>
        <v/>
      </c>
      <c r="U6" s="70" t="str">
        <f t="shared" si="5"/>
        <v/>
      </c>
      <c r="V6" s="71" t="str">
        <f t="shared" si="6"/>
        <v/>
      </c>
      <c r="W6" s="71" t="str">
        <f t="shared" si="7"/>
        <v/>
      </c>
      <c r="X6" s="70" t="str">
        <f t="shared" si="8"/>
        <v/>
      </c>
      <c r="Y6" s="66" t="str">
        <f t="shared" si="9"/>
        <v/>
      </c>
      <c r="Z6" s="66" t="str">
        <f t="shared" si="10"/>
        <v/>
      </c>
      <c r="AA6" s="66" t="str">
        <f t="shared" si="11"/>
        <v/>
      </c>
      <c r="AB6" s="66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17</v>
      </c>
      <c r="F7" s="117"/>
      <c r="G7" s="79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9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8" t="str">
        <f t="shared" si="0"/>
        <v/>
      </c>
      <c r="Q7" s="68" t="str">
        <f t="shared" si="1"/>
        <v/>
      </c>
      <c r="R7" s="68" t="str">
        <f t="shared" si="2"/>
        <v/>
      </c>
      <c r="S7" s="69" t="str">
        <f t="shared" si="3"/>
        <v/>
      </c>
      <c r="T7" s="69" t="str">
        <f t="shared" si="4"/>
        <v/>
      </c>
      <c r="U7" s="70" t="str">
        <f t="shared" si="5"/>
        <v/>
      </c>
      <c r="V7" s="71" t="str">
        <f t="shared" si="6"/>
        <v/>
      </c>
      <c r="W7" s="71" t="str">
        <f t="shared" si="7"/>
        <v/>
      </c>
      <c r="X7" s="70" t="str">
        <f t="shared" si="8"/>
        <v/>
      </c>
      <c r="Y7" s="66" t="str">
        <f t="shared" si="9"/>
        <v/>
      </c>
      <c r="Z7" s="66" t="str">
        <f t="shared" si="10"/>
        <v/>
      </c>
      <c r="AA7" s="66" t="str">
        <f t="shared" si="11"/>
        <v/>
      </c>
      <c r="AB7" s="66" t="str">
        <f t="shared" si="12"/>
        <v/>
      </c>
    </row>
    <row r="8" spans="1:28" ht="20.100000000000001" customHeight="1" thickBot="1">
      <c r="A8" s="2"/>
      <c r="B8" s="5" t="s">
        <v>1</v>
      </c>
      <c r="C8" s="63" t="str">
        <f>IFERROR(VLOOKUP("*"&amp;C4&amp;"*",'DADOS CLIENTES'!A:Z,2,0),"ERRO")</f>
        <v>CPF</v>
      </c>
      <c r="D8" s="4"/>
      <c r="E8" s="6" t="s">
        <v>73</v>
      </c>
      <c r="F8" s="58">
        <f>G4</f>
        <v>0</v>
      </c>
      <c r="G8" s="79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9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8" t="str">
        <f t="shared" ref="P8:P13" si="15">IF(J7&lt;&gt;"",$C$6,"")</f>
        <v/>
      </c>
      <c r="Q8" s="68" t="str">
        <f>IF(J7&lt;&gt;"",$C$8,"")</f>
        <v/>
      </c>
      <c r="R8" s="68" t="str">
        <f>IF(J7&lt;&gt;"",$F$6,"")</f>
        <v/>
      </c>
      <c r="S8" s="69" t="str">
        <f>IF(J7&lt;&gt;"",$F$7,"")</f>
        <v/>
      </c>
      <c r="T8" s="69" t="str">
        <f>IF(J7&lt;&gt;"",K7,"")</f>
        <v/>
      </c>
      <c r="U8" s="70" t="str">
        <f>IF(J7&lt;&gt;"",$F$9,"")</f>
        <v/>
      </c>
      <c r="V8" s="71" t="str">
        <f>IF(J7&lt;&gt;"",$F$11,"")</f>
        <v/>
      </c>
      <c r="W8" s="71" t="str">
        <f>IF(J7&lt;&gt;"",J7,"")</f>
        <v/>
      </c>
      <c r="X8" s="70" t="str">
        <f>IF(J7&lt;&gt;"",$F$12,"")</f>
        <v/>
      </c>
      <c r="Y8" s="66" t="str">
        <f>IF(J7&lt;&gt;"",MONTH(S8),"")</f>
        <v/>
      </c>
      <c r="Z8" s="66" t="str">
        <f>IF(J7&lt;&gt;"",YEAR(S8),"")</f>
        <v/>
      </c>
      <c r="AA8" s="66" t="str">
        <f>IF(J7&lt;&gt;"",MONTH(T8),"")</f>
        <v/>
      </c>
      <c r="AB8" s="66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75</v>
      </c>
      <c r="F9" s="118"/>
      <c r="G9" s="79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9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8" t="str">
        <f t="shared" si="15"/>
        <v/>
      </c>
      <c r="Q9" s="68" t="str">
        <f t="shared" ref="Q9:Q13" si="20">IF(J8&lt;&gt;"",$C$8,"")</f>
        <v/>
      </c>
      <c r="R9" s="68" t="str">
        <f t="shared" ref="R9:R13" si="21">IF(J8&lt;&gt;"",$F$6,"")</f>
        <v/>
      </c>
      <c r="S9" s="69" t="str">
        <f t="shared" ref="S9:S13" si="22">IF(J8&lt;&gt;"",$F$7,"")</f>
        <v/>
      </c>
      <c r="T9" s="69" t="str">
        <f t="shared" ref="T9:T13" si="23">IF(J8&lt;&gt;"",K8,"")</f>
        <v/>
      </c>
      <c r="U9" s="70" t="str">
        <f t="shared" ref="U9:U13" si="24">IF(J8&lt;&gt;"",$F$9,"")</f>
        <v/>
      </c>
      <c r="V9" s="71" t="str">
        <f t="shared" ref="V9:V13" si="25">IF(J8&lt;&gt;"",$F$11,"")</f>
        <v/>
      </c>
      <c r="W9" s="71" t="str">
        <f t="shared" ref="W9:W13" si="26">IF(J8&lt;&gt;"",J8,"")</f>
        <v/>
      </c>
      <c r="X9" s="70" t="str">
        <f t="shared" ref="X9:X13" si="27">IF(J8&lt;&gt;"",$F$12,"")</f>
        <v/>
      </c>
      <c r="Y9" s="66" t="str">
        <f t="shared" ref="Y9:Y13" si="28">IF(J8&lt;&gt;"",MONTH(S9),"")</f>
        <v/>
      </c>
      <c r="Z9" s="66" t="str">
        <f t="shared" ref="Z9:Z13" si="29">IF(J8&lt;&gt;"",YEAR(S9),"")</f>
        <v/>
      </c>
      <c r="AA9" s="66" t="str">
        <f t="shared" ref="AA9:AA13" si="30">IF(J8&lt;&gt;"",MONTH(T9),"")</f>
        <v/>
      </c>
      <c r="AB9" s="66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61" t="str">
        <f>IFERROR(VLOOKUP("*"&amp;C4&amp;"*",'DADOS CLIENTES'!A:D,3,0),"ERRO")</f>
        <v>CARGO</v>
      </c>
      <c r="D10" s="4"/>
      <c r="E10" s="6" t="s">
        <v>74</v>
      </c>
      <c r="F10" s="59" t="e">
        <f>F9*L4</f>
        <v>#N/A</v>
      </c>
      <c r="G10" s="79" t="str">
        <f t="shared" si="16"/>
        <v/>
      </c>
      <c r="H10" s="18" t="e">
        <f t="shared" si="17"/>
        <v>#VALUE!</v>
      </c>
      <c r="I10" s="12">
        <f t="shared" si="13"/>
        <v>0</v>
      </c>
      <c r="J10" s="79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8" t="str">
        <f t="shared" si="15"/>
        <v/>
      </c>
      <c r="Q10" s="68" t="str">
        <f t="shared" si="20"/>
        <v/>
      </c>
      <c r="R10" s="68" t="str">
        <f t="shared" si="21"/>
        <v/>
      </c>
      <c r="S10" s="69" t="str">
        <f t="shared" si="22"/>
        <v/>
      </c>
      <c r="T10" s="69" t="str">
        <f t="shared" si="23"/>
        <v/>
      </c>
      <c r="U10" s="70" t="str">
        <f t="shared" si="24"/>
        <v/>
      </c>
      <c r="V10" s="71" t="str">
        <f t="shared" si="25"/>
        <v/>
      </c>
      <c r="W10" s="71" t="str">
        <f t="shared" si="26"/>
        <v/>
      </c>
      <c r="X10" s="70" t="str">
        <f t="shared" si="27"/>
        <v/>
      </c>
      <c r="Y10" s="66" t="str">
        <f t="shared" si="28"/>
        <v/>
      </c>
      <c r="Z10" s="66" t="str">
        <f t="shared" si="29"/>
        <v/>
      </c>
      <c r="AA10" s="66" t="str">
        <f t="shared" si="30"/>
        <v/>
      </c>
      <c r="AB10" s="66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18</v>
      </c>
      <c r="F11" s="119"/>
      <c r="G11" s="79" t="str">
        <f t="shared" si="16"/>
        <v/>
      </c>
      <c r="H11" s="18" t="e">
        <f t="shared" si="17"/>
        <v>#VALUE!</v>
      </c>
      <c r="I11" s="12">
        <f t="shared" si="13"/>
        <v>0</v>
      </c>
      <c r="J11" s="79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8" t="str">
        <f t="shared" si="15"/>
        <v/>
      </c>
      <c r="Q11" s="68" t="str">
        <f t="shared" si="20"/>
        <v/>
      </c>
      <c r="R11" s="68" t="str">
        <f t="shared" si="21"/>
        <v/>
      </c>
      <c r="S11" s="69" t="str">
        <f t="shared" si="22"/>
        <v/>
      </c>
      <c r="T11" s="69" t="str">
        <f t="shared" si="23"/>
        <v/>
      </c>
      <c r="U11" s="70" t="str">
        <f t="shared" si="24"/>
        <v/>
      </c>
      <c r="V11" s="71" t="str">
        <f t="shared" si="25"/>
        <v/>
      </c>
      <c r="W11" s="71" t="str">
        <f t="shared" si="26"/>
        <v/>
      </c>
      <c r="X11" s="70" t="str">
        <f t="shared" si="27"/>
        <v/>
      </c>
      <c r="Y11" s="66" t="str">
        <f t="shared" si="28"/>
        <v/>
      </c>
      <c r="Z11" s="66" t="str">
        <f t="shared" si="29"/>
        <v/>
      </c>
      <c r="AA11" s="66" t="str">
        <f t="shared" si="30"/>
        <v/>
      </c>
      <c r="AB11" s="66" t="str">
        <f t="shared" si="31"/>
        <v/>
      </c>
    </row>
    <row r="12" spans="1:28" ht="20.100000000000001" customHeight="1" thickBot="1">
      <c r="A12" s="2"/>
      <c r="B12" s="5" t="s">
        <v>3</v>
      </c>
      <c r="C12" s="61" t="str">
        <f>IFERROR(VLOOKUP("*"&amp;C4&amp;"*",'DADOS CLIENTES'!A:D,4,0),"ERRO")</f>
        <v>EMAIL</v>
      </c>
      <c r="D12" s="4"/>
      <c r="E12" s="6" t="s">
        <v>10</v>
      </c>
      <c r="F12" s="60">
        <f>IF(F11&gt;0,F9/F11,0)</f>
        <v>0</v>
      </c>
      <c r="G12" s="79" t="str">
        <f t="shared" si="16"/>
        <v/>
      </c>
      <c r="H12" s="19" t="e">
        <f t="shared" si="17"/>
        <v>#VALUE!</v>
      </c>
      <c r="I12" s="13">
        <f t="shared" si="13"/>
        <v>0</v>
      </c>
      <c r="J12" s="79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8" t="str">
        <f t="shared" si="15"/>
        <v/>
      </c>
      <c r="Q12" s="68" t="str">
        <f t="shared" si="20"/>
        <v/>
      </c>
      <c r="R12" s="68" t="str">
        <f t="shared" si="21"/>
        <v/>
      </c>
      <c r="S12" s="69" t="str">
        <f t="shared" si="22"/>
        <v/>
      </c>
      <c r="T12" s="69" t="str">
        <f t="shared" si="23"/>
        <v/>
      </c>
      <c r="U12" s="70" t="str">
        <f t="shared" si="24"/>
        <v/>
      </c>
      <c r="V12" s="71" t="str">
        <f t="shared" si="25"/>
        <v/>
      </c>
      <c r="W12" s="71" t="str">
        <f t="shared" si="26"/>
        <v/>
      </c>
      <c r="X12" s="70" t="str">
        <f t="shared" si="27"/>
        <v/>
      </c>
      <c r="Y12" s="66" t="str">
        <f t="shared" si="28"/>
        <v/>
      </c>
      <c r="Z12" s="66" t="str">
        <f t="shared" si="29"/>
        <v/>
      </c>
      <c r="AA12" s="66" t="str">
        <f t="shared" si="30"/>
        <v/>
      </c>
      <c r="AB12" s="66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8" t="str">
        <f t="shared" si="15"/>
        <v/>
      </c>
      <c r="Q13" s="68" t="str">
        <f t="shared" si="20"/>
        <v/>
      </c>
      <c r="R13" s="68" t="str">
        <f t="shared" si="21"/>
        <v/>
      </c>
      <c r="S13" s="69" t="str">
        <f t="shared" si="22"/>
        <v/>
      </c>
      <c r="T13" s="69" t="str">
        <f t="shared" si="23"/>
        <v/>
      </c>
      <c r="U13" s="70" t="str">
        <f t="shared" si="24"/>
        <v/>
      </c>
      <c r="V13" s="71" t="str">
        <f t="shared" si="25"/>
        <v/>
      </c>
      <c r="W13" s="71" t="str">
        <f t="shared" si="26"/>
        <v/>
      </c>
      <c r="X13" s="70" t="str">
        <f t="shared" si="27"/>
        <v/>
      </c>
      <c r="Y13" s="66" t="str">
        <f t="shared" si="28"/>
        <v/>
      </c>
      <c r="Z13" s="66" t="str">
        <f t="shared" si="29"/>
        <v/>
      </c>
      <c r="AA13" s="66" t="str">
        <f t="shared" si="30"/>
        <v/>
      </c>
      <c r="AB13" s="66" t="str">
        <f t="shared" si="31"/>
        <v/>
      </c>
    </row>
    <row r="14" spans="1:28" ht="15.75" thickBot="1">
      <c r="A14" s="2"/>
      <c r="B14" s="5" t="s">
        <v>14</v>
      </c>
      <c r="C14" s="62" t="str">
        <f>IFERROR(VLOOKUP("*"&amp;C4&amp;"*",'DADOS CLIENTES'!A:V,5,0),"ERRO")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heet="1" objects="1" scenarios="1"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1"/>
  <sheetViews>
    <sheetView workbookViewId="0">
      <pane ySplit="1" topLeftCell="A2" activePane="bottomLeft" state="frozen"/>
      <selection pane="bottomLeft" activeCell="A2" sqref="A2:XFD90"/>
    </sheetView>
  </sheetViews>
  <sheetFormatPr defaultColWidth="0" defaultRowHeight="15"/>
  <cols>
    <col min="1" max="1" width="19.5703125" bestFit="1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23.7109375" style="72" bestFit="1" customWidth="1"/>
    <col min="7" max="7" width="12.5703125" style="67" bestFit="1" customWidth="1"/>
    <col min="8" max="8" width="13.5703125" style="23" bestFit="1" customWidth="1"/>
    <col min="9" max="9" width="17.7109375" style="72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6.85546875" customWidth="1"/>
    <col min="14" max="14" width="17.85546875" customWidth="1"/>
    <col min="15" max="16384" width="16.85546875" hidden="1"/>
  </cols>
  <sheetData>
    <row r="1" spans="1:14" ht="60.75" customHeight="1" thickBot="1">
      <c r="A1" s="129" t="s">
        <v>5</v>
      </c>
      <c r="B1" s="130" t="s">
        <v>1</v>
      </c>
      <c r="C1" s="130" t="s">
        <v>6</v>
      </c>
      <c r="D1" s="131" t="s">
        <v>11</v>
      </c>
      <c r="E1" s="132" t="s">
        <v>82</v>
      </c>
      <c r="F1" s="133" t="s">
        <v>23</v>
      </c>
      <c r="G1" s="73" t="s">
        <v>7</v>
      </c>
      <c r="H1" s="73" t="s">
        <v>76</v>
      </c>
      <c r="I1" s="133" t="s">
        <v>9</v>
      </c>
      <c r="J1" s="130" t="s">
        <v>19</v>
      </c>
      <c r="K1" s="130" t="s">
        <v>20</v>
      </c>
      <c r="L1" s="134" t="s">
        <v>21</v>
      </c>
      <c r="M1" s="134" t="s">
        <v>22</v>
      </c>
      <c r="N1" s="3"/>
    </row>
  </sheetData>
  <autoFilter ref="A1:M1" xr:uid="{0AEDBB6B-BD16-4B33-8CC1-8281D4967915}">
    <sortState xmlns:xlrd2="http://schemas.microsoft.com/office/spreadsheetml/2017/richdata2" ref="A2:M1">
      <sortCondition descending="1" ref="A1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1"/>
  <sheetViews>
    <sheetView workbookViewId="0">
      <pane ySplit="1" topLeftCell="A2" activePane="bottomLeft" state="frozen"/>
      <selection pane="bottomLeft"/>
    </sheetView>
  </sheetViews>
  <sheetFormatPr defaultColWidth="0" defaultRowHeight="15"/>
  <cols>
    <col min="1" max="1" width="24.28515625" bestFit="1" customWidth="1"/>
    <col min="2" max="2" width="14.140625" bestFit="1" customWidth="1"/>
    <col min="3" max="3" width="13.5703125" customWidth="1"/>
    <col min="4" max="4" width="15.140625" style="20" bestFit="1" customWidth="1"/>
    <col min="5" max="5" width="16.85546875" style="23" bestFit="1" customWidth="1"/>
    <col min="6" max="6" width="17.42578125" style="23" bestFit="1" customWidth="1"/>
    <col min="7" max="7" width="15.85546875" customWidth="1"/>
    <col min="8" max="16384" width="9.140625" hidden="1"/>
  </cols>
  <sheetData>
    <row r="1" spans="1:6" s="3" customFormat="1" ht="60" customHeight="1" thickBot="1">
      <c r="A1" s="129" t="s">
        <v>5</v>
      </c>
      <c r="B1" s="130" t="s">
        <v>95</v>
      </c>
      <c r="C1" s="130" t="s">
        <v>11</v>
      </c>
      <c r="D1" s="136" t="s">
        <v>25</v>
      </c>
      <c r="E1" s="73" t="s">
        <v>93</v>
      </c>
      <c r="F1" s="73" t="s">
        <v>94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workbookViewId="0">
      <pane xSplit="17" ySplit="2" topLeftCell="XEU3" activePane="bottomRight" state="frozen"/>
      <selection pane="topRight" activeCell="R1" sqref="R1"/>
      <selection pane="bottomLeft" activeCell="A3" sqref="A3"/>
      <selection pane="bottomRight" activeCell="I5" sqref="I5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.7109375" style="81" bestFit="1" customWidth="1"/>
    <col min="4" max="4" width="14" style="82" bestFit="1" customWidth="1"/>
    <col min="5" max="5" width="2.7109375" style="8" customWidth="1"/>
    <col min="6" max="6" width="5.5703125" style="8" customWidth="1"/>
    <col min="7" max="7" width="14.5703125" style="48" customWidth="1"/>
    <col min="8" max="8" width="9.42578125" style="77" bestFit="1" customWidth="1"/>
    <col min="9" max="9" width="14" style="48" bestFit="1" customWidth="1"/>
    <col min="10" max="10" width="2.7109375" style="80" customWidth="1"/>
    <col min="11" max="11" width="25" style="47" bestFit="1" customWidth="1"/>
    <col min="12" max="12" width="13.85546875" style="47" customWidth="1"/>
    <col min="13" max="13" width="16.7109375" style="47" customWidth="1"/>
    <col min="14" max="14" width="10.85546875" style="47" bestFit="1" customWidth="1"/>
    <col min="15" max="15" width="9.7109375" style="47" bestFit="1" customWidth="1"/>
    <col min="16" max="16" width="16.42578125" style="23" bestFit="1" customWidth="1"/>
    <col min="17" max="17" width="3" style="81" customWidth="1"/>
    <col min="18" max="18" width="10.85546875" hidden="1" customWidth="1"/>
    <col min="19" max="19" width="15.85546875" hidden="1" customWidth="1"/>
    <col min="20" max="20" width="22" hidden="1" customWidth="1"/>
    <col min="21" max="21" width="22.28515625" hidden="1" customWidth="1"/>
    <col min="22" max="22" width="23.7109375" hidden="1" customWidth="1"/>
    <col min="23" max="16384" width="9.140625" hidden="1"/>
  </cols>
  <sheetData>
    <row r="1" spans="7:17" ht="66.75" customHeight="1">
      <c r="G1" s="80"/>
      <c r="H1" s="83"/>
      <c r="I1" s="80"/>
      <c r="K1" s="84"/>
      <c r="L1" s="84"/>
      <c r="M1" s="84"/>
      <c r="N1" s="84"/>
      <c r="O1" s="84"/>
      <c r="P1" s="81"/>
    </row>
    <row r="2" spans="7:17">
      <c r="G2" s="74" t="s">
        <v>86</v>
      </c>
      <c r="H2" s="75" t="s">
        <v>87</v>
      </c>
      <c r="I2" t="s">
        <v>85</v>
      </c>
      <c r="K2" s="74" t="s">
        <v>5</v>
      </c>
      <c r="L2" s="74" t="s">
        <v>6</v>
      </c>
      <c r="M2" s="75" t="s">
        <v>88</v>
      </c>
      <c r="N2" s="75" t="s">
        <v>89</v>
      </c>
      <c r="O2" s="75" t="s">
        <v>86</v>
      </c>
      <c r="P2" s="23" t="s">
        <v>90</v>
      </c>
    </row>
    <row r="3" spans="7:17">
      <c r="G3" t="s">
        <v>83</v>
      </c>
      <c r="H3" s="23" t="s">
        <v>83</v>
      </c>
      <c r="I3" s="76"/>
      <c r="K3" t="s">
        <v>83</v>
      </c>
      <c r="L3" t="s">
        <v>83</v>
      </c>
      <c r="M3" t="s">
        <v>83</v>
      </c>
      <c r="N3" t="s">
        <v>83</v>
      </c>
      <c r="O3" t="s">
        <v>83</v>
      </c>
      <c r="P3" s="78"/>
    </row>
    <row r="4" spans="7:17">
      <c r="G4"/>
      <c r="H4"/>
      <c r="I4" s="76"/>
      <c r="K4"/>
      <c r="L4"/>
      <c r="M4"/>
      <c r="N4"/>
      <c r="O4"/>
      <c r="P4" s="78"/>
    </row>
    <row r="5" spans="7:17">
      <c r="G5" s="23" t="s">
        <v>84</v>
      </c>
      <c r="H5" s="23"/>
      <c r="I5" s="76"/>
      <c r="K5" t="s">
        <v>84</v>
      </c>
      <c r="L5"/>
      <c r="M5"/>
      <c r="N5"/>
      <c r="O5"/>
      <c r="P5" s="78"/>
    </row>
    <row r="6" spans="7:17">
      <c r="G6"/>
      <c r="H6"/>
      <c r="I6"/>
      <c r="K6"/>
      <c r="L6"/>
      <c r="M6"/>
      <c r="N6"/>
      <c r="O6"/>
      <c r="P6"/>
    </row>
    <row r="7" spans="7:17">
      <c r="G7"/>
      <c r="H7"/>
      <c r="I7"/>
      <c r="K7"/>
      <c r="L7"/>
      <c r="M7"/>
      <c r="N7"/>
      <c r="O7"/>
      <c r="P7"/>
      <c r="Q7" s="8"/>
    </row>
    <row r="8" spans="7:17">
      <c r="G8"/>
      <c r="H8"/>
      <c r="I8"/>
      <c r="K8"/>
      <c r="L8"/>
      <c r="M8"/>
      <c r="N8"/>
      <c r="O8"/>
      <c r="P8"/>
      <c r="Q8" s="8"/>
    </row>
    <row r="9" spans="7:17">
      <c r="G9"/>
      <c r="H9"/>
      <c r="I9"/>
      <c r="K9"/>
      <c r="L9"/>
      <c r="M9"/>
      <c r="N9"/>
      <c r="O9"/>
      <c r="P9"/>
      <c r="Q9" s="8"/>
    </row>
    <row r="10" spans="7:17">
      <c r="G10"/>
      <c r="H10"/>
      <c r="I10"/>
      <c r="K10"/>
      <c r="L10"/>
      <c r="M10"/>
      <c r="N10"/>
      <c r="O10"/>
      <c r="P10"/>
      <c r="Q10" s="8"/>
    </row>
    <row r="11" spans="7:17">
      <c r="G11"/>
      <c r="H11"/>
      <c r="I11"/>
      <c r="K11"/>
      <c r="L11"/>
      <c r="M11"/>
      <c r="N11"/>
      <c r="O11"/>
      <c r="P11"/>
      <c r="Q11" s="8"/>
    </row>
    <row r="12" spans="7:17">
      <c r="G12"/>
      <c r="H12"/>
      <c r="I12"/>
      <c r="K12"/>
      <c r="L12"/>
      <c r="M12"/>
      <c r="N12"/>
      <c r="O12"/>
      <c r="P12"/>
      <c r="Q12" s="8"/>
    </row>
    <row r="13" spans="7:17">
      <c r="G13"/>
      <c r="H13"/>
      <c r="I13"/>
      <c r="K13"/>
      <c r="L13"/>
      <c r="M13"/>
      <c r="N13"/>
      <c r="O13"/>
      <c r="P13"/>
      <c r="Q13" s="8"/>
    </row>
    <row r="14" spans="7:17">
      <c r="G14"/>
      <c r="H14"/>
      <c r="I14"/>
      <c r="K14"/>
      <c r="L14"/>
      <c r="M14"/>
      <c r="N14"/>
      <c r="O14"/>
      <c r="P14"/>
      <c r="Q14" s="8"/>
    </row>
    <row r="15" spans="7:17">
      <c r="G15"/>
      <c r="H15"/>
      <c r="I15"/>
      <c r="J15" s="8"/>
      <c r="K15"/>
      <c r="L15"/>
      <c r="M15"/>
      <c r="N15"/>
      <c r="O15"/>
      <c r="P15"/>
      <c r="Q15" s="8"/>
    </row>
    <row r="16" spans="7:17">
      <c r="G16"/>
      <c r="H16"/>
      <c r="I16"/>
      <c r="J16" s="8"/>
      <c r="K16"/>
      <c r="L16"/>
      <c r="M16"/>
      <c r="N16"/>
      <c r="O16"/>
      <c r="P16"/>
      <c r="Q16" s="8"/>
    </row>
    <row r="17" spans="3:17">
      <c r="G17"/>
      <c r="H17"/>
      <c r="I17"/>
      <c r="J17" s="8"/>
      <c r="K17"/>
      <c r="L17"/>
      <c r="M17"/>
      <c r="N17"/>
      <c r="O17"/>
      <c r="P17"/>
      <c r="Q17" s="8"/>
    </row>
    <row r="18" spans="3:17">
      <c r="G18"/>
      <c r="H18"/>
      <c r="I18"/>
      <c r="J18" s="8"/>
      <c r="K18"/>
      <c r="L18"/>
      <c r="M18"/>
      <c r="N18"/>
      <c r="O18"/>
      <c r="P18"/>
      <c r="Q18" s="8"/>
    </row>
    <row r="19" spans="3:17">
      <c r="C19" s="87" t="s">
        <v>86</v>
      </c>
      <c r="D19" s="87" t="s">
        <v>85</v>
      </c>
      <c r="G19"/>
      <c r="H19"/>
      <c r="I19"/>
      <c r="J19" s="8"/>
      <c r="K19"/>
      <c r="L19"/>
      <c r="M19"/>
      <c r="N19"/>
      <c r="O19"/>
      <c r="P19"/>
      <c r="Q19" s="8"/>
    </row>
    <row r="20" spans="3:17">
      <c r="C20" s="85" t="s">
        <v>83</v>
      </c>
      <c r="D20" s="86"/>
      <c r="G20"/>
      <c r="H20"/>
      <c r="I20"/>
      <c r="J20" s="8"/>
      <c r="K20"/>
      <c r="L20"/>
      <c r="M20"/>
      <c r="N20"/>
      <c r="O20"/>
      <c r="P20"/>
      <c r="Q20" s="8"/>
    </row>
    <row r="21" spans="3:17">
      <c r="C21" s="88" t="s">
        <v>84</v>
      </c>
      <c r="D21" s="89"/>
      <c r="G21"/>
      <c r="H21"/>
      <c r="I21"/>
      <c r="J21" s="8"/>
      <c r="K21"/>
      <c r="L21"/>
      <c r="M21"/>
      <c r="N21"/>
      <c r="O21"/>
      <c r="P21"/>
      <c r="Q21" s="8"/>
    </row>
    <row r="22" spans="3:17">
      <c r="C22"/>
      <c r="D22"/>
      <c r="G22"/>
      <c r="H22"/>
      <c r="I22"/>
      <c r="J22" s="8"/>
      <c r="K22"/>
      <c r="L22"/>
      <c r="M22"/>
      <c r="N22"/>
      <c r="O22"/>
      <c r="P22"/>
      <c r="Q22" s="8"/>
    </row>
    <row r="23" spans="3:17">
      <c r="C23"/>
      <c r="D23"/>
      <c r="G23"/>
      <c r="H23"/>
      <c r="I23"/>
      <c r="J23" s="8"/>
      <c r="K23"/>
      <c r="L23"/>
      <c r="M23"/>
      <c r="N23"/>
      <c r="O23"/>
      <c r="P23"/>
      <c r="Q23" s="8"/>
    </row>
    <row r="24" spans="3:17">
      <c r="C24"/>
      <c r="D24"/>
      <c r="G24"/>
      <c r="H24"/>
      <c r="I24"/>
      <c r="J24" s="8"/>
      <c r="K24"/>
      <c r="L24"/>
      <c r="M24"/>
      <c r="N24"/>
      <c r="O24"/>
      <c r="P24"/>
      <c r="Q24" s="8"/>
    </row>
    <row r="25" spans="3:17">
      <c r="C25"/>
      <c r="D25"/>
      <c r="G25"/>
      <c r="H25"/>
      <c r="I25"/>
      <c r="J25" s="8"/>
      <c r="K25"/>
      <c r="L25"/>
      <c r="M25"/>
      <c r="N25"/>
      <c r="O25"/>
      <c r="P25"/>
      <c r="Q25" s="8"/>
    </row>
    <row r="26" spans="3:17">
      <c r="C26"/>
      <c r="D26"/>
      <c r="G26"/>
      <c r="H26"/>
      <c r="I26"/>
      <c r="J26" s="8"/>
      <c r="K26"/>
      <c r="L26"/>
      <c r="M26"/>
      <c r="N26"/>
      <c r="O26"/>
      <c r="P26"/>
      <c r="Q26" s="8"/>
    </row>
    <row r="27" spans="3:17">
      <c r="G27"/>
      <c r="H27"/>
      <c r="I27"/>
      <c r="K27"/>
      <c r="L27"/>
      <c r="M27"/>
      <c r="N27"/>
      <c r="O27"/>
      <c r="P27"/>
      <c r="Q27" s="8"/>
    </row>
    <row r="28" spans="3:17">
      <c r="G28"/>
      <c r="H28"/>
      <c r="I28"/>
      <c r="K28"/>
      <c r="L28"/>
      <c r="M28"/>
      <c r="N28"/>
      <c r="O28"/>
      <c r="P28"/>
      <c r="Q28" s="8"/>
    </row>
    <row r="29" spans="3:17">
      <c r="G29"/>
      <c r="H29"/>
      <c r="I29"/>
      <c r="K29"/>
      <c r="L29"/>
      <c r="M29"/>
      <c r="N29"/>
      <c r="O29"/>
      <c r="P29"/>
      <c r="Q29" s="8"/>
    </row>
    <row r="30" spans="3:17">
      <c r="G30"/>
      <c r="H30"/>
      <c r="I30"/>
      <c r="K30"/>
      <c r="L30"/>
      <c r="M30"/>
      <c r="N30"/>
      <c r="O30"/>
      <c r="P30"/>
      <c r="Q30" s="8"/>
    </row>
    <row r="31" spans="3:17">
      <c r="G31"/>
      <c r="H31"/>
      <c r="I31"/>
      <c r="K31"/>
      <c r="L31"/>
      <c r="M31"/>
      <c r="N31"/>
      <c r="O31"/>
      <c r="P31"/>
      <c r="Q31" s="8"/>
    </row>
    <row r="32" spans="3:17">
      <c r="G32"/>
      <c r="H32"/>
      <c r="I32"/>
      <c r="K32"/>
      <c r="L32"/>
      <c r="M32"/>
      <c r="N32"/>
      <c r="O32"/>
      <c r="P32"/>
      <c r="Q32" s="8"/>
    </row>
    <row r="33" spans="3:17">
      <c r="C33" s="8"/>
      <c r="D33" s="8"/>
      <c r="G33"/>
      <c r="H33"/>
      <c r="I33"/>
      <c r="K33"/>
      <c r="L33"/>
      <c r="M33"/>
      <c r="N33"/>
      <c r="O33"/>
      <c r="P33"/>
      <c r="Q33" s="8"/>
    </row>
    <row r="34" spans="3:17">
      <c r="C34" s="8"/>
      <c r="D34" s="8"/>
      <c r="G34"/>
      <c r="H34"/>
      <c r="I34"/>
      <c r="K34"/>
      <c r="L34"/>
      <c r="M34"/>
      <c r="N34"/>
      <c r="O34"/>
      <c r="P34"/>
      <c r="Q34" s="8"/>
    </row>
    <row r="35" spans="3:17">
      <c r="C35" s="8"/>
      <c r="D35" s="8"/>
      <c r="G35"/>
      <c r="H35"/>
      <c r="I35"/>
      <c r="K35"/>
      <c r="L35"/>
      <c r="M35"/>
      <c r="N35"/>
      <c r="O35"/>
      <c r="P35"/>
      <c r="Q35" s="8"/>
    </row>
    <row r="36" spans="3:17">
      <c r="C36" s="8"/>
      <c r="D36" s="8"/>
      <c r="G36"/>
      <c r="H36"/>
      <c r="I36"/>
      <c r="K36"/>
      <c r="L36"/>
      <c r="M36"/>
      <c r="N36"/>
      <c r="O36"/>
      <c r="P36"/>
      <c r="Q36" s="8"/>
    </row>
    <row r="37" spans="3:17">
      <c r="C37" s="8"/>
      <c r="D37" s="8"/>
      <c r="G37"/>
      <c r="H37"/>
      <c r="I37"/>
      <c r="K37"/>
      <c r="L37"/>
      <c r="M37"/>
      <c r="N37"/>
      <c r="O37"/>
      <c r="P37"/>
      <c r="Q37" s="8"/>
    </row>
    <row r="38" spans="3:17">
      <c r="C38" s="8"/>
      <c r="D38" s="8"/>
      <c r="G38"/>
      <c r="H38"/>
      <c r="I38"/>
      <c r="K38"/>
      <c r="L38"/>
      <c r="M38"/>
      <c r="N38"/>
      <c r="O38"/>
      <c r="P38"/>
      <c r="Q38" s="8"/>
    </row>
    <row r="39" spans="3:17">
      <c r="C39" s="8"/>
      <c r="D39" s="8"/>
      <c r="G39"/>
      <c r="H39"/>
      <c r="I39"/>
      <c r="K39"/>
      <c r="L39"/>
      <c r="M39"/>
      <c r="N39"/>
      <c r="O39"/>
      <c r="P39"/>
      <c r="Q39" s="8"/>
    </row>
    <row r="40" spans="3:17">
      <c r="C40" s="8"/>
      <c r="D40" s="8"/>
      <c r="G40"/>
      <c r="H40"/>
      <c r="I40"/>
      <c r="K40"/>
      <c r="L40"/>
      <c r="M40"/>
      <c r="N40"/>
      <c r="O40"/>
      <c r="P40"/>
      <c r="Q40" s="8"/>
    </row>
    <row r="41" spans="3:17">
      <c r="C41" s="8"/>
      <c r="D41" s="8"/>
      <c r="G41"/>
      <c r="H41"/>
      <c r="I41"/>
      <c r="K41"/>
      <c r="L41"/>
      <c r="M41"/>
      <c r="N41"/>
      <c r="O41"/>
      <c r="P41"/>
      <c r="Q41" s="8"/>
    </row>
    <row r="42" spans="3:17">
      <c r="C42" s="8"/>
      <c r="D42" s="8"/>
      <c r="G42"/>
      <c r="H42"/>
      <c r="I42"/>
      <c r="K42"/>
      <c r="L42"/>
      <c r="M42"/>
      <c r="N42"/>
      <c r="O42"/>
      <c r="P42"/>
      <c r="Q42" s="8"/>
    </row>
    <row r="43" spans="3:17">
      <c r="C43" s="8"/>
      <c r="D43" s="8"/>
      <c r="G43"/>
      <c r="H43"/>
      <c r="I43"/>
      <c r="K43"/>
      <c r="L43"/>
      <c r="M43"/>
      <c r="N43"/>
      <c r="O43"/>
      <c r="P43"/>
      <c r="Q43" s="8"/>
    </row>
    <row r="44" spans="3:17">
      <c r="C44" s="8"/>
      <c r="D44" s="8"/>
      <c r="G44"/>
      <c r="H44"/>
      <c r="I44"/>
      <c r="K44"/>
      <c r="L44"/>
      <c r="M44"/>
      <c r="N44"/>
      <c r="O44"/>
      <c r="P44"/>
      <c r="Q44" s="8"/>
    </row>
    <row r="45" spans="3:17">
      <c r="C45" s="8"/>
      <c r="D45" s="8"/>
      <c r="G45"/>
      <c r="H45"/>
      <c r="I45"/>
      <c r="K45"/>
      <c r="L45"/>
      <c r="M45"/>
      <c r="N45"/>
      <c r="O45"/>
      <c r="P45"/>
      <c r="Q45" s="8"/>
    </row>
    <row r="46" spans="3:17">
      <c r="C46" s="8"/>
      <c r="D46" s="8"/>
      <c r="G46"/>
      <c r="K46"/>
      <c r="L46"/>
      <c r="M46"/>
      <c r="N46"/>
      <c r="O46"/>
      <c r="P46"/>
      <c r="Q46" s="8"/>
    </row>
    <row r="47" spans="3:17">
      <c r="C47" s="8"/>
      <c r="D47" s="8"/>
      <c r="G47"/>
      <c r="K47"/>
      <c r="L47"/>
      <c r="M47"/>
      <c r="N47"/>
      <c r="O47"/>
      <c r="P47"/>
      <c r="Q47" s="8"/>
    </row>
    <row r="48" spans="3:17">
      <c r="C48" s="8"/>
      <c r="D48" s="8"/>
      <c r="G48"/>
      <c r="K48"/>
      <c r="L48"/>
      <c r="M48"/>
      <c r="N48"/>
      <c r="O48"/>
      <c r="P48"/>
      <c r="Q48" s="8"/>
    </row>
    <row r="49" spans="3:17">
      <c r="C49" s="8"/>
      <c r="D49" s="8"/>
      <c r="G49"/>
      <c r="K49"/>
      <c r="L49"/>
      <c r="M49"/>
      <c r="N49"/>
      <c r="O49"/>
      <c r="P49"/>
      <c r="Q49" s="8"/>
    </row>
    <row r="50" spans="3:17">
      <c r="C50" s="8"/>
      <c r="D50" s="8"/>
      <c r="G50"/>
      <c r="K50"/>
      <c r="L50"/>
      <c r="M50"/>
      <c r="N50"/>
      <c r="O50"/>
      <c r="P50"/>
      <c r="Q50" s="8"/>
    </row>
    <row r="51" spans="3:17">
      <c r="C51" s="8"/>
      <c r="D51" s="8"/>
      <c r="G51"/>
      <c r="K51"/>
      <c r="L51"/>
      <c r="M51"/>
      <c r="N51"/>
      <c r="O51"/>
      <c r="P51"/>
      <c r="Q51" s="8"/>
    </row>
    <row r="52" spans="3:17">
      <c r="C52" s="8"/>
      <c r="D52" s="8"/>
      <c r="G52"/>
      <c r="K52"/>
      <c r="L52"/>
      <c r="M52"/>
      <c r="N52"/>
      <c r="O52"/>
      <c r="P52"/>
      <c r="Q52" s="8"/>
    </row>
    <row r="53" spans="3:17">
      <c r="K53"/>
      <c r="L53"/>
      <c r="M53"/>
      <c r="N53"/>
      <c r="O53"/>
      <c r="P53"/>
      <c r="Q53" s="8"/>
    </row>
    <row r="54" spans="3:17">
      <c r="K54"/>
      <c r="L54"/>
      <c r="M54"/>
      <c r="N54"/>
      <c r="O54"/>
      <c r="P54"/>
      <c r="Q54" s="8"/>
    </row>
    <row r="55" spans="3:17">
      <c r="K55"/>
      <c r="L55"/>
      <c r="M55"/>
      <c r="N55"/>
      <c r="O55"/>
      <c r="P55"/>
      <c r="Q55" s="8"/>
    </row>
    <row r="56" spans="3:17">
      <c r="K56"/>
      <c r="L56"/>
      <c r="M56"/>
      <c r="N56"/>
      <c r="O56"/>
      <c r="P56"/>
      <c r="Q56" s="8"/>
    </row>
    <row r="57" spans="3:17">
      <c r="K57"/>
      <c r="L57"/>
      <c r="M57"/>
      <c r="N57"/>
      <c r="O57"/>
      <c r="P57"/>
      <c r="Q57" s="8"/>
    </row>
    <row r="58" spans="3:17">
      <c r="K58"/>
      <c r="L58"/>
      <c r="M58"/>
      <c r="N58"/>
      <c r="O58"/>
      <c r="P58"/>
      <c r="Q58" s="8"/>
    </row>
    <row r="59" spans="3:17">
      <c r="K59"/>
      <c r="L59"/>
      <c r="M59"/>
      <c r="N59"/>
      <c r="O59"/>
      <c r="P59"/>
      <c r="Q59" s="8"/>
    </row>
    <row r="60" spans="3:17">
      <c r="K60"/>
      <c r="L60"/>
      <c r="M60"/>
      <c r="N60"/>
      <c r="O60"/>
      <c r="P60"/>
      <c r="Q60" s="8"/>
    </row>
    <row r="61" spans="3:17">
      <c r="K61"/>
      <c r="L61"/>
      <c r="M61"/>
      <c r="N61"/>
      <c r="O61"/>
      <c r="P61"/>
      <c r="Q61" s="8"/>
    </row>
    <row r="62" spans="3:17">
      <c r="K62"/>
      <c r="L62"/>
      <c r="M62"/>
      <c r="N62"/>
      <c r="O62"/>
      <c r="P62"/>
      <c r="Q62" s="8"/>
    </row>
    <row r="63" spans="3:17">
      <c r="K63"/>
      <c r="L63"/>
      <c r="M63"/>
      <c r="N63"/>
      <c r="O63"/>
      <c r="P63"/>
      <c r="Q63" s="8"/>
    </row>
    <row r="64" spans="3:17">
      <c r="K64"/>
      <c r="L64"/>
      <c r="M64"/>
      <c r="N64"/>
      <c r="O64"/>
      <c r="P64"/>
      <c r="Q64" s="8"/>
    </row>
    <row r="65" spans="11:17">
      <c r="K65"/>
      <c r="L65"/>
      <c r="M65"/>
      <c r="N65"/>
      <c r="O65"/>
      <c r="P65"/>
      <c r="Q65" s="8"/>
    </row>
    <row r="66" spans="11:17">
      <c r="K66"/>
      <c r="L66"/>
      <c r="M66"/>
      <c r="N66"/>
      <c r="O66"/>
      <c r="P66"/>
      <c r="Q66" s="8"/>
    </row>
    <row r="67" spans="11:17">
      <c r="K67"/>
      <c r="L67"/>
      <c r="M67"/>
      <c r="N67"/>
      <c r="O67"/>
      <c r="P67"/>
      <c r="Q67" s="8"/>
    </row>
    <row r="68" spans="11:17">
      <c r="K68"/>
      <c r="L68"/>
      <c r="M68"/>
      <c r="N68"/>
      <c r="O68"/>
      <c r="P68"/>
      <c r="Q68" s="8"/>
    </row>
    <row r="69" spans="11:17">
      <c r="K69"/>
      <c r="L69"/>
      <c r="M69"/>
      <c r="N69"/>
      <c r="O69"/>
      <c r="P69"/>
      <c r="Q69" s="8"/>
    </row>
    <row r="70" spans="11:17">
      <c r="K70"/>
      <c r="L70"/>
      <c r="M70"/>
      <c r="N70"/>
      <c r="O70"/>
      <c r="P70"/>
      <c r="Q70" s="8"/>
    </row>
    <row r="71" spans="11:17">
      <c r="K71"/>
      <c r="L71"/>
      <c r="M71"/>
      <c r="N71"/>
      <c r="O71"/>
      <c r="P71"/>
      <c r="Q71" s="8"/>
    </row>
    <row r="72" spans="11:17">
      <c r="K72"/>
      <c r="L72"/>
      <c r="M72"/>
      <c r="N72"/>
      <c r="O72"/>
      <c r="P72"/>
      <c r="Q72" s="8"/>
    </row>
    <row r="73" spans="11:17">
      <c r="K73"/>
      <c r="L73"/>
      <c r="M73"/>
      <c r="N73"/>
      <c r="O73"/>
      <c r="P73"/>
      <c r="Q73" s="8"/>
    </row>
    <row r="74" spans="11:17">
      <c r="K74"/>
      <c r="L74"/>
      <c r="M74"/>
      <c r="N74"/>
      <c r="O74"/>
      <c r="P74"/>
      <c r="Q74" s="8"/>
    </row>
    <row r="75" spans="11:17">
      <c r="K75"/>
      <c r="L75"/>
      <c r="M75"/>
      <c r="N75"/>
      <c r="O75"/>
      <c r="P75"/>
      <c r="Q75" s="8"/>
    </row>
    <row r="76" spans="11:17">
      <c r="K76"/>
      <c r="L76"/>
      <c r="M76"/>
      <c r="N76"/>
      <c r="O76"/>
      <c r="P76"/>
      <c r="Q76" s="8"/>
    </row>
    <row r="77" spans="11:17">
      <c r="K77"/>
      <c r="L77"/>
      <c r="M77"/>
      <c r="N77"/>
      <c r="O77"/>
      <c r="P77"/>
      <c r="Q77" s="8"/>
    </row>
    <row r="78" spans="11:17">
      <c r="K78"/>
      <c r="L78"/>
      <c r="M78"/>
      <c r="N78"/>
      <c r="O78"/>
      <c r="P78"/>
      <c r="Q78" s="8"/>
    </row>
    <row r="79" spans="11:17">
      <c r="K79"/>
      <c r="L79"/>
      <c r="M79"/>
      <c r="N79"/>
      <c r="O79"/>
      <c r="P79"/>
      <c r="Q79" s="8"/>
    </row>
    <row r="80" spans="11:17">
      <c r="K80"/>
      <c r="L80"/>
      <c r="M80"/>
      <c r="N80"/>
      <c r="O80"/>
      <c r="P80"/>
      <c r="Q80" s="8"/>
    </row>
    <row r="81" spans="11:17">
      <c r="K81"/>
      <c r="L81"/>
      <c r="M81"/>
      <c r="N81"/>
      <c r="O81"/>
      <c r="P81"/>
      <c r="Q81" s="8"/>
    </row>
    <row r="82" spans="11:17">
      <c r="K82"/>
      <c r="L82"/>
      <c r="M82"/>
      <c r="N82"/>
      <c r="O82"/>
      <c r="P82"/>
      <c r="Q82" s="8"/>
    </row>
    <row r="83" spans="11:17">
      <c r="K83"/>
      <c r="L83"/>
      <c r="M83"/>
      <c r="N83"/>
      <c r="O83"/>
      <c r="P83"/>
      <c r="Q83" s="8"/>
    </row>
    <row r="84" spans="11:17">
      <c r="K84"/>
      <c r="L84"/>
      <c r="M84"/>
      <c r="N84"/>
      <c r="O84"/>
      <c r="P84"/>
      <c r="Q84" s="8"/>
    </row>
    <row r="85" spans="11:17">
      <c r="K85"/>
      <c r="L85"/>
      <c r="M85"/>
      <c r="N85"/>
      <c r="O85"/>
      <c r="P85"/>
      <c r="Q85" s="8"/>
    </row>
    <row r="86" spans="11:17">
      <c r="K86"/>
      <c r="L86"/>
      <c r="M86"/>
      <c r="N86"/>
      <c r="O86"/>
      <c r="P86"/>
      <c r="Q86" s="8"/>
    </row>
    <row r="87" spans="11:17">
      <c r="K87"/>
      <c r="L87"/>
      <c r="M87"/>
      <c r="N87"/>
      <c r="O87"/>
      <c r="P87"/>
      <c r="Q87" s="8"/>
    </row>
    <row r="88" spans="11:17">
      <c r="K88"/>
      <c r="L88"/>
      <c r="M88"/>
      <c r="N88"/>
      <c r="O88"/>
      <c r="P88"/>
      <c r="Q88" s="8"/>
    </row>
    <row r="89" spans="11:17">
      <c r="K89"/>
      <c r="L89"/>
      <c r="M89"/>
      <c r="N89"/>
      <c r="O89"/>
      <c r="P89"/>
      <c r="Q89" s="8"/>
    </row>
    <row r="90" spans="11:17">
      <c r="K90"/>
      <c r="L90"/>
      <c r="M90"/>
      <c r="N90"/>
      <c r="O90"/>
      <c r="P90"/>
      <c r="Q90" s="8"/>
    </row>
    <row r="91" spans="11:17">
      <c r="K91"/>
      <c r="L91"/>
      <c r="M91"/>
      <c r="N91"/>
      <c r="O91"/>
      <c r="P91"/>
      <c r="Q91" s="8"/>
    </row>
    <row r="92" spans="11:17">
      <c r="K92"/>
      <c r="L92"/>
      <c r="M92"/>
      <c r="N92"/>
      <c r="O92"/>
      <c r="P92"/>
      <c r="Q92" s="8"/>
    </row>
    <row r="93" spans="11:17">
      <c r="K93"/>
      <c r="L93"/>
      <c r="M93"/>
      <c r="N93"/>
      <c r="O93"/>
      <c r="P93"/>
      <c r="Q93" s="8"/>
    </row>
    <row r="94" spans="11:17">
      <c r="K94"/>
      <c r="L94"/>
      <c r="M94"/>
      <c r="N94"/>
      <c r="O94"/>
      <c r="P94"/>
      <c r="Q94" s="8"/>
    </row>
    <row r="95" spans="11:17">
      <c r="K95"/>
      <c r="L95"/>
      <c r="M95"/>
      <c r="N95"/>
      <c r="O95"/>
      <c r="P95"/>
      <c r="Q95" s="8"/>
    </row>
    <row r="96" spans="11:17">
      <c r="K96"/>
      <c r="L96"/>
      <c r="M96"/>
      <c r="N96"/>
      <c r="O96"/>
      <c r="P96"/>
      <c r="Q96" s="8"/>
    </row>
    <row r="97" spans="11:17">
      <c r="K97"/>
      <c r="L97"/>
      <c r="M97"/>
      <c r="N97"/>
      <c r="O97"/>
      <c r="P97"/>
      <c r="Q97" s="8"/>
    </row>
    <row r="98" spans="11:17">
      <c r="K98"/>
      <c r="L98"/>
      <c r="M98"/>
      <c r="N98"/>
      <c r="O98"/>
      <c r="P98"/>
      <c r="Q98" s="8"/>
    </row>
    <row r="99" spans="11:17">
      <c r="K99"/>
      <c r="L99"/>
      <c r="M99"/>
      <c r="N99"/>
      <c r="O99"/>
      <c r="P99"/>
      <c r="Q99" s="8"/>
    </row>
    <row r="100" spans="11:17">
      <c r="K100"/>
      <c r="L100"/>
      <c r="M100"/>
      <c r="N100"/>
      <c r="O100"/>
      <c r="P100"/>
      <c r="Q100" s="8"/>
    </row>
    <row r="101" spans="11:17">
      <c r="K101"/>
      <c r="L101"/>
      <c r="M101"/>
      <c r="N101"/>
      <c r="O101"/>
      <c r="P101"/>
      <c r="Q101" s="8"/>
    </row>
    <row r="102" spans="11:17">
      <c r="K102"/>
      <c r="L102"/>
      <c r="M102"/>
      <c r="N102"/>
      <c r="O102"/>
      <c r="P102"/>
      <c r="Q102" s="8"/>
    </row>
    <row r="103" spans="11:17">
      <c r="K103"/>
      <c r="L103"/>
      <c r="M103"/>
      <c r="N103"/>
      <c r="O103"/>
      <c r="P103"/>
      <c r="Q103" s="8"/>
    </row>
    <row r="104" spans="11:17">
      <c r="K104"/>
      <c r="L104"/>
      <c r="M104"/>
      <c r="N104"/>
      <c r="O104"/>
      <c r="P104"/>
      <c r="Q104" s="8"/>
    </row>
    <row r="105" spans="11:17">
      <c r="K105"/>
      <c r="L105"/>
      <c r="M105"/>
      <c r="N105"/>
      <c r="O105"/>
      <c r="P105"/>
      <c r="Q105" s="8"/>
    </row>
    <row r="106" spans="11:17">
      <c r="K106"/>
      <c r="L106"/>
      <c r="M106"/>
      <c r="N106"/>
      <c r="O106"/>
      <c r="P106"/>
      <c r="Q106" s="8"/>
    </row>
    <row r="107" spans="11:17">
      <c r="K107"/>
      <c r="L107"/>
      <c r="M107"/>
      <c r="N107"/>
      <c r="O107"/>
      <c r="P107"/>
    </row>
    <row r="108" spans="11:17">
      <c r="K108"/>
      <c r="L108"/>
      <c r="M108"/>
      <c r="N108"/>
      <c r="O108"/>
      <c r="P108"/>
    </row>
    <row r="109" spans="11:17">
      <c r="K109"/>
      <c r="L109"/>
      <c r="M109"/>
      <c r="N109"/>
      <c r="O109"/>
      <c r="P109"/>
    </row>
    <row r="110" spans="11:17">
      <c r="K110"/>
      <c r="L110"/>
      <c r="M110"/>
      <c r="N110"/>
      <c r="O110"/>
      <c r="P110"/>
    </row>
    <row r="111" spans="11:17">
      <c r="K111"/>
      <c r="L111"/>
      <c r="M111"/>
      <c r="N111"/>
      <c r="O111"/>
      <c r="P111"/>
    </row>
    <row r="112" spans="11:17">
      <c r="K112"/>
      <c r="L112"/>
      <c r="M112"/>
      <c r="N112"/>
      <c r="O112"/>
      <c r="P112"/>
    </row>
    <row r="113" spans="11:16">
      <c r="K113"/>
      <c r="L113"/>
      <c r="M113"/>
      <c r="N113"/>
      <c r="O113"/>
      <c r="P113"/>
    </row>
    <row r="114" spans="11:16">
      <c r="K114"/>
      <c r="L114"/>
      <c r="M114"/>
      <c r="N114"/>
      <c r="O114"/>
      <c r="P114"/>
    </row>
    <row r="115" spans="11:16">
      <c r="K115"/>
      <c r="L115"/>
      <c r="M115"/>
      <c r="N115"/>
      <c r="O115"/>
      <c r="P115"/>
    </row>
    <row r="116" spans="11:16">
      <c r="K116"/>
      <c r="L116"/>
      <c r="M116"/>
      <c r="N116"/>
      <c r="O116"/>
      <c r="P116"/>
    </row>
    <row r="117" spans="11:16">
      <c r="K117"/>
      <c r="L117"/>
      <c r="M117"/>
      <c r="N117"/>
      <c r="O117"/>
      <c r="P117"/>
    </row>
    <row r="118" spans="11:16">
      <c r="K118"/>
      <c r="L118"/>
      <c r="M118"/>
      <c r="N118"/>
      <c r="O118"/>
      <c r="P118"/>
    </row>
    <row r="119" spans="11:16">
      <c r="K119"/>
      <c r="L119"/>
      <c r="M119"/>
      <c r="N119"/>
      <c r="O119"/>
      <c r="P119"/>
    </row>
    <row r="120" spans="11:16">
      <c r="K120"/>
      <c r="L120"/>
      <c r="M120"/>
      <c r="N120"/>
      <c r="O120"/>
      <c r="P120"/>
    </row>
    <row r="121" spans="11:16">
      <c r="K121"/>
      <c r="L121"/>
      <c r="M121"/>
      <c r="N121"/>
      <c r="O121"/>
      <c r="P121"/>
    </row>
    <row r="122" spans="11:16">
      <c r="K122"/>
      <c r="L122"/>
      <c r="M122"/>
      <c r="N122"/>
      <c r="O122"/>
      <c r="P122"/>
    </row>
    <row r="123" spans="11:16">
      <c r="K123"/>
      <c r="L123"/>
      <c r="M123"/>
      <c r="N123"/>
      <c r="O123"/>
      <c r="P123"/>
    </row>
    <row r="124" spans="11:16">
      <c r="K124"/>
      <c r="L124"/>
      <c r="M124"/>
      <c r="N124"/>
      <c r="O124"/>
      <c r="P124"/>
    </row>
    <row r="125" spans="11:16">
      <c r="K125"/>
      <c r="L125"/>
      <c r="M125"/>
      <c r="N125"/>
      <c r="O125"/>
      <c r="P125"/>
    </row>
    <row r="126" spans="11:16">
      <c r="K126"/>
      <c r="L126"/>
      <c r="M126"/>
      <c r="N126"/>
      <c r="O126"/>
      <c r="P126"/>
    </row>
    <row r="127" spans="11:16">
      <c r="K127"/>
      <c r="L127"/>
      <c r="M127"/>
      <c r="N127"/>
      <c r="O127"/>
      <c r="P127"/>
    </row>
    <row r="128" spans="11:16">
      <c r="K128"/>
      <c r="L128"/>
      <c r="M128"/>
      <c r="N128"/>
      <c r="O128"/>
      <c r="P128"/>
    </row>
    <row r="129" spans="11:16">
      <c r="K129"/>
      <c r="L129"/>
      <c r="M129"/>
      <c r="N129"/>
      <c r="O129"/>
      <c r="P129"/>
    </row>
    <row r="130" spans="11:16">
      <c r="K130"/>
      <c r="L130"/>
      <c r="M130"/>
      <c r="N130"/>
      <c r="O130"/>
      <c r="P130"/>
    </row>
    <row r="131" spans="11:16">
      <c r="K131"/>
      <c r="L131"/>
      <c r="M131"/>
      <c r="N131"/>
      <c r="O131"/>
      <c r="P131"/>
    </row>
    <row r="132" spans="11:16">
      <c r="K132"/>
      <c r="L132"/>
      <c r="M132"/>
      <c r="N132"/>
      <c r="O132"/>
      <c r="P132"/>
    </row>
    <row r="133" spans="11:16">
      <c r="K133"/>
      <c r="L133"/>
      <c r="M133"/>
      <c r="N133"/>
      <c r="O133"/>
      <c r="P133"/>
    </row>
    <row r="134" spans="11:16">
      <c r="K134"/>
      <c r="L134"/>
      <c r="M134"/>
      <c r="N134"/>
      <c r="O134"/>
      <c r="P134"/>
    </row>
    <row r="135" spans="11:16">
      <c r="K135"/>
      <c r="L135"/>
      <c r="M135"/>
      <c r="N135"/>
      <c r="O135"/>
      <c r="P135"/>
    </row>
    <row r="136" spans="11:16">
      <c r="K136"/>
      <c r="L136"/>
      <c r="M136"/>
      <c r="N136"/>
      <c r="O136"/>
      <c r="P136"/>
    </row>
    <row r="137" spans="11:16">
      <c r="K137"/>
      <c r="L137"/>
      <c r="M137"/>
      <c r="N137"/>
      <c r="O137"/>
      <c r="P137"/>
    </row>
    <row r="138" spans="11:16">
      <c r="K138"/>
      <c r="L138"/>
      <c r="M138"/>
      <c r="N138"/>
      <c r="O138"/>
      <c r="P138"/>
    </row>
    <row r="139" spans="11:16">
      <c r="K139"/>
      <c r="L139"/>
      <c r="M139"/>
      <c r="N139"/>
      <c r="O139"/>
      <c r="P139"/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showRowColHeaders="0" zoomScaleNormal="100" workbookViewId="0">
      <pane xSplit="14" ySplit="25" topLeftCell="O26" activePane="bottomRight" state="frozen"/>
      <selection pane="topRight" activeCell="O1" sqref="O1"/>
      <selection pane="bottomLeft" activeCell="A26" sqref="A26"/>
      <selection pane="bottomRight" activeCell="I3" sqref="I3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27.140625" style="67" customWidth="1"/>
    <col min="4" max="4" width="2.140625" style="101" customWidth="1"/>
    <col min="5" max="5" width="28.85546875" style="67" customWidth="1"/>
    <col min="6" max="6" width="2.28515625" style="103" customWidth="1"/>
    <col min="7" max="8" width="17.42578125" bestFit="1" customWidth="1"/>
    <col min="9" max="9" width="24.7109375" bestFit="1" customWidth="1"/>
    <col min="10" max="10" width="2.140625" style="103" customWidth="1"/>
    <col min="11" max="11" width="16.28515625" style="23" bestFit="1" customWidth="1"/>
    <col min="12" max="12" width="25" bestFit="1" customWidth="1"/>
    <col min="13" max="13" width="10.85546875" bestFit="1" customWidth="1"/>
    <col min="14" max="14" width="23.710937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90"/>
      <c r="D2" s="102"/>
      <c r="G2" s="95" t="s">
        <v>20</v>
      </c>
      <c r="H2" s="95" t="s">
        <v>19</v>
      </c>
      <c r="I2" s="98" t="s">
        <v>92</v>
      </c>
      <c r="K2" s="91" t="s">
        <v>11</v>
      </c>
      <c r="L2" s="104" t="s">
        <v>5</v>
      </c>
      <c r="M2" s="104" t="s">
        <v>6</v>
      </c>
      <c r="N2" s="94" t="s">
        <v>91</v>
      </c>
    </row>
    <row r="3" spans="1:14" ht="19.5" thickBot="1">
      <c r="A3" s="1"/>
      <c r="G3" s="98" t="s">
        <v>83</v>
      </c>
      <c r="H3" s="135" t="s">
        <v>83</v>
      </c>
      <c r="I3" s="99"/>
      <c r="K3" s="92" t="s">
        <v>84</v>
      </c>
      <c r="L3" s="105"/>
      <c r="M3" s="93"/>
      <c r="N3" s="137"/>
    </row>
    <row r="4" spans="1:14" ht="16.5" thickBot="1">
      <c r="A4" s="1"/>
      <c r="G4" s="96" t="s">
        <v>84</v>
      </c>
      <c r="H4" s="97"/>
      <c r="I4" s="100"/>
      <c r="K4"/>
    </row>
    <row r="5" spans="1:14" ht="19.5" thickBot="1">
      <c r="A5" s="1"/>
      <c r="K5"/>
    </row>
    <row r="6" spans="1:14" ht="15.75" thickBot="1">
      <c r="A6" s="1"/>
      <c r="K6"/>
    </row>
    <row r="7" spans="1:14" ht="16.5" thickBot="1">
      <c r="A7" s="1"/>
      <c r="K7"/>
    </row>
    <row r="8" spans="1:14">
      <c r="A8" s="1"/>
      <c r="K8"/>
    </row>
    <row r="9" spans="1:14">
      <c r="A9" s="1"/>
      <c r="K9"/>
    </row>
    <row r="10" spans="1:14" ht="19.5" thickBot="1">
      <c r="A10" s="1"/>
      <c r="K10"/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showRowColHeaders="0" workbookViewId="0">
      <pane xSplit="14" ySplit="19" topLeftCell="O47" activePane="bottomRight" state="frozen"/>
      <selection pane="topRight" activeCell="O1" sqref="O1"/>
      <selection pane="bottomLeft" activeCell="A20" sqref="A20"/>
      <selection pane="bottomRight"/>
    </sheetView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67" customWidth="1"/>
    <col min="6" max="6" width="2.85546875" style="3" customWidth="1"/>
    <col min="7" max="7" width="26.140625" style="3" bestFit="1" customWidth="1"/>
    <col min="8" max="8" width="12.28515625" style="3" bestFit="1" customWidth="1"/>
    <col min="9" max="9" width="16.5703125" style="3" bestFit="1" customWidth="1"/>
    <col min="10" max="10" width="10.85546875" style="3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109375" style="3" hidden="1"/>
  </cols>
  <sheetData>
    <row r="1" spans="1:15" ht="54" customHeight="1">
      <c r="A1" s="2"/>
      <c r="B1" s="4"/>
      <c r="C1" s="109"/>
      <c r="D1" s="109"/>
      <c r="E1" s="114"/>
      <c r="F1" s="2"/>
      <c r="G1" s="109"/>
      <c r="H1" s="109"/>
      <c r="I1" s="109"/>
      <c r="J1" s="109"/>
      <c r="K1" s="109"/>
      <c r="L1" s="2"/>
      <c r="M1" s="2"/>
      <c r="N1" s="2"/>
      <c r="O1" s="110"/>
    </row>
    <row r="2" spans="1:15" ht="18.75">
      <c r="A2" s="2"/>
      <c r="B2" s="4"/>
      <c r="E2" s="114"/>
      <c r="F2" s="2"/>
      <c r="G2" s="106" t="s">
        <v>5</v>
      </c>
      <c r="H2" s="111" t="s">
        <v>94</v>
      </c>
      <c r="I2" s="108" t="s">
        <v>93</v>
      </c>
      <c r="J2" s="106" t="s">
        <v>95</v>
      </c>
      <c r="K2" s="3" t="s">
        <v>96</v>
      </c>
      <c r="L2" s="2"/>
      <c r="M2" s="2"/>
      <c r="N2" s="113"/>
      <c r="O2" s="110"/>
    </row>
    <row r="3" spans="1:15">
      <c r="A3" s="2"/>
      <c r="B3" s="4"/>
      <c r="E3" s="114"/>
      <c r="F3" s="2"/>
      <c r="G3" s="3" t="s">
        <v>84</v>
      </c>
      <c r="K3" s="107"/>
      <c r="L3" s="2"/>
      <c r="M3" s="2"/>
      <c r="N3" s="2"/>
      <c r="O3" s="110"/>
    </row>
    <row r="4" spans="1:15">
      <c r="A4" s="2"/>
      <c r="B4" s="4"/>
      <c r="E4" s="114"/>
      <c r="F4" s="2"/>
      <c r="G4"/>
      <c r="H4"/>
      <c r="I4"/>
      <c r="J4"/>
      <c r="K4"/>
      <c r="L4" s="2"/>
      <c r="M4" s="2"/>
      <c r="N4" s="2"/>
      <c r="O4" s="110"/>
    </row>
    <row r="5" spans="1:15">
      <c r="A5" s="2"/>
      <c r="B5" s="4"/>
      <c r="E5" s="114"/>
      <c r="F5" s="2"/>
      <c r="G5"/>
      <c r="H5"/>
      <c r="I5"/>
      <c r="J5"/>
      <c r="K5"/>
      <c r="L5" s="2"/>
      <c r="M5" s="2"/>
      <c r="N5" s="2"/>
      <c r="O5" s="110"/>
    </row>
    <row r="6" spans="1:15">
      <c r="A6" s="2"/>
      <c r="B6" s="4"/>
      <c r="E6" s="114"/>
      <c r="F6" s="2"/>
      <c r="G6"/>
      <c r="H6"/>
      <c r="I6"/>
      <c r="J6"/>
      <c r="K6"/>
      <c r="L6" s="2"/>
      <c r="M6" s="2"/>
      <c r="N6" s="2"/>
      <c r="O6" s="110"/>
    </row>
    <row r="7" spans="1:15">
      <c r="A7" s="2"/>
      <c r="B7" s="4"/>
      <c r="E7" s="114"/>
      <c r="F7" s="2"/>
      <c r="G7"/>
      <c r="H7"/>
      <c r="I7"/>
      <c r="J7"/>
      <c r="K7"/>
      <c r="L7" s="2"/>
      <c r="M7" s="2"/>
      <c r="N7" s="2"/>
      <c r="O7" s="110"/>
    </row>
    <row r="8" spans="1:15">
      <c r="A8" s="2"/>
      <c r="B8" s="4"/>
      <c r="E8" s="114"/>
      <c r="F8" s="2"/>
      <c r="G8"/>
      <c r="H8"/>
      <c r="I8"/>
      <c r="J8"/>
      <c r="K8"/>
      <c r="L8" s="2"/>
      <c r="M8" s="2"/>
      <c r="N8" s="2"/>
      <c r="O8" s="110"/>
    </row>
    <row r="9" spans="1:15">
      <c r="A9" s="2"/>
      <c r="B9" s="4"/>
      <c r="E9" s="114"/>
      <c r="F9" s="2"/>
      <c r="G9"/>
      <c r="H9"/>
      <c r="I9"/>
      <c r="J9"/>
      <c r="K9"/>
      <c r="L9" s="2"/>
      <c r="M9" s="2"/>
      <c r="N9" s="2"/>
      <c r="O9" s="110"/>
    </row>
    <row r="10" spans="1:15">
      <c r="A10" s="2"/>
      <c r="B10" s="4"/>
      <c r="E10" s="114"/>
      <c r="F10" s="2"/>
      <c r="G10"/>
      <c r="H10"/>
      <c r="I10"/>
      <c r="J10"/>
      <c r="K10"/>
      <c r="L10" s="2"/>
      <c r="M10" s="2"/>
      <c r="N10" s="2"/>
      <c r="O10" s="110"/>
    </row>
    <row r="11" spans="1:15">
      <c r="A11" s="2"/>
      <c r="B11" s="4"/>
      <c r="E11" s="114"/>
      <c r="F11" s="2"/>
      <c r="G11"/>
      <c r="H11"/>
      <c r="I11"/>
      <c r="J11"/>
      <c r="K11"/>
      <c r="L11" s="2"/>
      <c r="M11" s="2"/>
      <c r="N11" s="2"/>
      <c r="O11" s="110"/>
    </row>
    <row r="12" spans="1:15">
      <c r="A12" s="2"/>
      <c r="B12" s="4"/>
      <c r="E12" s="114"/>
      <c r="F12" s="2"/>
      <c r="G12"/>
      <c r="H12"/>
      <c r="I12"/>
      <c r="J12"/>
      <c r="K12"/>
      <c r="L12" s="109"/>
      <c r="M12" s="109"/>
      <c r="N12" s="109"/>
      <c r="O12" s="110"/>
    </row>
    <row r="13" spans="1:15">
      <c r="A13" s="2"/>
      <c r="B13" s="4"/>
      <c r="E13" s="114"/>
      <c r="F13" s="2"/>
      <c r="G13"/>
      <c r="H13"/>
      <c r="I13"/>
      <c r="J13"/>
      <c r="K13"/>
      <c r="L13" s="109"/>
      <c r="M13" s="109"/>
      <c r="N13" s="109"/>
      <c r="O13" s="110"/>
    </row>
    <row r="14" spans="1:15">
      <c r="A14" s="2"/>
      <c r="B14" s="4"/>
      <c r="E14" s="114"/>
      <c r="F14" s="2"/>
      <c r="G14"/>
      <c r="H14"/>
      <c r="I14"/>
      <c r="J14"/>
      <c r="K14"/>
      <c r="L14" s="109"/>
      <c r="M14" s="109"/>
      <c r="N14" s="109"/>
      <c r="O14" s="110"/>
    </row>
    <row r="15" spans="1:15">
      <c r="A15" s="2"/>
      <c r="B15" s="4"/>
      <c r="E15" s="114"/>
      <c r="F15" s="2"/>
      <c r="G15"/>
      <c r="H15"/>
      <c r="I15"/>
      <c r="J15"/>
      <c r="K15"/>
      <c r="L15" s="109"/>
      <c r="M15" s="109"/>
      <c r="N15" s="109"/>
      <c r="O15" s="110"/>
    </row>
    <row r="16" spans="1:15">
      <c r="A16" s="2"/>
      <c r="B16" s="112"/>
      <c r="C16" s="112"/>
      <c r="D16" s="112"/>
      <c r="E16" s="112"/>
      <c r="F16" s="110"/>
      <c r="G16"/>
      <c r="H16"/>
      <c r="I16"/>
      <c r="J16"/>
      <c r="K16"/>
      <c r="L16" s="110"/>
      <c r="M16" s="110"/>
      <c r="N16" s="110"/>
      <c r="O16" s="110"/>
    </row>
    <row r="17" spans="1:15">
      <c r="A17" s="2"/>
      <c r="B17" s="112"/>
      <c r="C17" s="112"/>
      <c r="D17" s="112"/>
      <c r="E17" s="112"/>
      <c r="F17" s="110"/>
      <c r="G17"/>
      <c r="H17"/>
      <c r="I17"/>
      <c r="J17"/>
      <c r="K17"/>
      <c r="L17" s="110"/>
      <c r="M17" s="110"/>
      <c r="N17" s="110"/>
      <c r="O17" s="110"/>
    </row>
    <row r="18" spans="1:15">
      <c r="A18" s="2"/>
      <c r="B18" s="112"/>
      <c r="C18" s="112"/>
      <c r="D18" s="112"/>
      <c r="E18" s="112"/>
      <c r="F18" s="110"/>
      <c r="G18" s="110"/>
      <c r="H18" s="110"/>
      <c r="I18" s="110"/>
      <c r="J18" s="110"/>
      <c r="K18" s="110"/>
      <c r="L18" s="110"/>
      <c r="M18" s="110"/>
      <c r="N18" s="110"/>
      <c r="O18" s="110"/>
    </row>
    <row r="19" spans="1:15">
      <c r="A19" s="2"/>
      <c r="B19" s="112"/>
      <c r="C19" s="112"/>
      <c r="D19" s="112"/>
      <c r="E19" s="112"/>
      <c r="F19" s="110"/>
      <c r="G19" s="110"/>
      <c r="H19" s="110"/>
      <c r="I19" s="110"/>
      <c r="J19" s="110"/>
      <c r="K19" s="110"/>
      <c r="L19" s="110"/>
      <c r="M19" s="110"/>
      <c r="N19" s="110"/>
      <c r="O19" s="110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2023-07-03T10:01:39Z</dcterms:modified>
</cp:coreProperties>
</file>