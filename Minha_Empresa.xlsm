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33A56859-669E-4BAD-B6FD-444F185379BC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CADASTRO" sheetId="1" r:id="rId1"/>
    <sheet name="SERVIÇOS" sheetId="2" r:id="rId2"/>
    <sheet name="DADOS VENDAS" sheetId="3" r:id="rId3"/>
    <sheet name="DADOS CLIENTES" sheetId="4" r:id="rId4"/>
    <sheet name="RESUMOS" sheetId="5" r:id="rId5"/>
  </sheets>
  <definedNames>
    <definedName name="_xlnm._FilterDatabase" localSheetId="0" hidden="1">CADASTRO!$A$9</definedName>
    <definedName name="_xlnm._FilterDatabase" localSheetId="4" hidden="1">RESUMOS!$A$9</definedName>
    <definedName name="SegmentaçãodeDados_ANO_PAGAMENTO">#N/A</definedName>
    <definedName name="SegmentaçãodeDados_ANO_SERVIÇO">#N/A</definedName>
    <definedName name="SegmentaçãodeDados_MÊS_PAGAMENTO">#N/A</definedName>
    <definedName name="SegmentaçãodeDados_MÊS_SERVIÇO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L3" i="3"/>
  <c r="M3" i="3"/>
  <c r="N3" i="3"/>
  <c r="K4" i="3"/>
  <c r="L4" i="3"/>
  <c r="M4" i="3"/>
  <c r="N4" i="3"/>
  <c r="K5" i="3"/>
  <c r="L5" i="3"/>
  <c r="M5" i="3"/>
  <c r="N5" i="3"/>
  <c r="K6" i="3"/>
  <c r="L6" i="3"/>
  <c r="M6" i="3"/>
  <c r="N6" i="3"/>
  <c r="K7" i="3"/>
  <c r="L7" i="3"/>
  <c r="M7" i="3"/>
  <c r="N7" i="3"/>
  <c r="K8" i="3"/>
  <c r="L8" i="3"/>
  <c r="M8" i="3"/>
  <c r="N8" i="3"/>
  <c r="K9" i="3"/>
  <c r="L9" i="3"/>
  <c r="M9" i="3"/>
  <c r="N9" i="3"/>
  <c r="K10" i="3"/>
  <c r="L10" i="3"/>
  <c r="M10" i="3"/>
  <c r="N10" i="3"/>
  <c r="K11" i="3"/>
  <c r="L11" i="3"/>
  <c r="M11" i="3"/>
  <c r="N11" i="3"/>
  <c r="N2" i="3"/>
  <c r="M2" i="3"/>
  <c r="L2" i="3"/>
  <c r="K2" i="3"/>
  <c r="K13" i="3"/>
  <c r="L13" i="3"/>
  <c r="M13" i="3"/>
  <c r="N13" i="3"/>
  <c r="K14" i="3"/>
  <c r="L14" i="3"/>
  <c r="M14" i="3"/>
  <c r="N14" i="3"/>
  <c r="K15" i="3"/>
  <c r="L15" i="3"/>
  <c r="M15" i="3"/>
  <c r="N15" i="3"/>
  <c r="K16" i="3"/>
  <c r="L16" i="3"/>
  <c r="M16" i="3"/>
  <c r="N16" i="3"/>
  <c r="K17" i="3"/>
  <c r="L17" i="3"/>
  <c r="M17" i="3"/>
  <c r="N17" i="3"/>
  <c r="K18" i="3"/>
  <c r="L18" i="3"/>
  <c r="M18" i="3"/>
  <c r="N18" i="3"/>
  <c r="K19" i="3"/>
  <c r="L19" i="3"/>
  <c r="M19" i="3"/>
  <c r="N19" i="3"/>
  <c r="K20" i="3"/>
  <c r="L20" i="3"/>
  <c r="M20" i="3"/>
  <c r="N20" i="3"/>
  <c r="K21" i="3"/>
  <c r="L21" i="3"/>
  <c r="M21" i="3"/>
  <c r="N21" i="3"/>
  <c r="N12" i="3"/>
  <c r="M12" i="3"/>
  <c r="L12" i="3"/>
  <c r="K12" i="3"/>
  <c r="K23" i="3"/>
  <c r="L23" i="3"/>
  <c r="M23" i="3"/>
  <c r="N23" i="3"/>
  <c r="K24" i="3"/>
  <c r="L24" i="3"/>
  <c r="M24" i="3"/>
  <c r="N24" i="3"/>
  <c r="K25" i="3"/>
  <c r="L25" i="3"/>
  <c r="M25" i="3"/>
  <c r="N25" i="3"/>
  <c r="K26" i="3"/>
  <c r="L26" i="3"/>
  <c r="M26" i="3"/>
  <c r="N26" i="3"/>
  <c r="K27" i="3"/>
  <c r="L27" i="3"/>
  <c r="M27" i="3"/>
  <c r="N27" i="3"/>
  <c r="K28" i="3"/>
  <c r="L28" i="3"/>
  <c r="M28" i="3"/>
  <c r="N28" i="3"/>
  <c r="K29" i="3"/>
  <c r="L29" i="3"/>
  <c r="M29" i="3"/>
  <c r="N29" i="3"/>
  <c r="K30" i="3"/>
  <c r="L30" i="3"/>
  <c r="M30" i="3"/>
  <c r="N30" i="3"/>
  <c r="K31" i="3"/>
  <c r="L31" i="3"/>
  <c r="M31" i="3"/>
  <c r="N31" i="3"/>
  <c r="N22" i="3"/>
  <c r="M22" i="3"/>
  <c r="L22" i="3"/>
  <c r="K22" i="3"/>
  <c r="D3" i="5"/>
  <c r="K33" i="3"/>
  <c r="L33" i="3"/>
  <c r="M33" i="3"/>
  <c r="N33" i="3"/>
  <c r="K34" i="3"/>
  <c r="L34" i="3"/>
  <c r="M34" i="3"/>
  <c r="N34" i="3"/>
  <c r="K35" i="3"/>
  <c r="L35" i="3"/>
  <c r="M35" i="3"/>
  <c r="N35" i="3"/>
  <c r="K36" i="3"/>
  <c r="L36" i="3"/>
  <c r="M36" i="3"/>
  <c r="N36" i="3"/>
  <c r="K37" i="3"/>
  <c r="L37" i="3"/>
  <c r="M37" i="3"/>
  <c r="N37" i="3"/>
  <c r="K38" i="3"/>
  <c r="L38" i="3"/>
  <c r="M38" i="3"/>
  <c r="N38" i="3"/>
  <c r="K39" i="3"/>
  <c r="L39" i="3"/>
  <c r="M39" i="3"/>
  <c r="N39" i="3"/>
  <c r="K40" i="3"/>
  <c r="L40" i="3"/>
  <c r="M40" i="3"/>
  <c r="N40" i="3"/>
  <c r="K41" i="3"/>
  <c r="L41" i="3"/>
  <c r="M41" i="3"/>
  <c r="N41" i="3"/>
  <c r="K42" i="3"/>
  <c r="L42" i="3"/>
  <c r="M42" i="3"/>
  <c r="N42" i="3"/>
  <c r="K43" i="3"/>
  <c r="L43" i="3"/>
  <c r="M43" i="3"/>
  <c r="N43" i="3"/>
  <c r="K44" i="3"/>
  <c r="L44" i="3"/>
  <c r="M44" i="3"/>
  <c r="N44" i="3"/>
  <c r="K45" i="3"/>
  <c r="L45" i="3"/>
  <c r="M45" i="3"/>
  <c r="N45" i="3"/>
  <c r="K46" i="3"/>
  <c r="L46" i="3"/>
  <c r="M46" i="3"/>
  <c r="N46" i="3"/>
  <c r="K47" i="3"/>
  <c r="L47" i="3"/>
  <c r="M47" i="3"/>
  <c r="N47" i="3"/>
  <c r="K48" i="3"/>
  <c r="L48" i="3"/>
  <c r="M48" i="3"/>
  <c r="N48" i="3"/>
  <c r="K49" i="3"/>
  <c r="L49" i="3"/>
  <c r="M49" i="3"/>
  <c r="N49" i="3"/>
  <c r="K50" i="3"/>
  <c r="L50" i="3"/>
  <c r="M50" i="3"/>
  <c r="N50" i="3"/>
  <c r="K51" i="3"/>
  <c r="L51" i="3"/>
  <c r="M51" i="3"/>
  <c r="N51" i="3"/>
  <c r="K52" i="3"/>
  <c r="L52" i="3"/>
  <c r="M52" i="3"/>
  <c r="N52" i="3"/>
  <c r="N32" i="3"/>
  <c r="M32" i="3"/>
  <c r="L32" i="3"/>
  <c r="K32" i="3"/>
  <c r="D14" i="2"/>
  <c r="D12" i="2"/>
  <c r="D10" i="2"/>
  <c r="D8" i="2"/>
  <c r="D6" i="2"/>
  <c r="I12" i="2" l="1"/>
  <c r="L11" i="2" s="1"/>
  <c r="O11" i="2" l="1"/>
  <c r="O12" i="2"/>
  <c r="L10" i="2"/>
  <c r="O7" i="2"/>
  <c r="L12" i="2"/>
  <c r="O10" i="2"/>
  <c r="O9" i="2"/>
  <c r="O8" i="2"/>
  <c r="L8" i="2"/>
  <c r="L9" i="2"/>
  <c r="L7" i="2"/>
  <c r="K7" i="2" s="1"/>
  <c r="K8" i="2" l="1"/>
  <c r="K9" i="2" s="1"/>
  <c r="K10" i="2" s="1"/>
  <c r="K11" i="2" s="1"/>
  <c r="K12" i="2" s="1"/>
  <c r="N7" i="2" s="1"/>
  <c r="N8" i="2" s="1"/>
  <c r="N9" i="2" s="1"/>
  <c r="N10" i="2" s="1"/>
  <c r="N11" i="2" s="1"/>
  <c r="N12" i="2" s="1"/>
</calcChain>
</file>

<file path=xl/sharedStrings.xml><?xml version="1.0" encoding="utf-8"?>
<sst xmlns="http://schemas.openxmlformats.org/spreadsheetml/2006/main" count="270" uniqueCount="66">
  <si>
    <t>Cadastro</t>
  </si>
  <si>
    <t>Clientes</t>
  </si>
  <si>
    <t xml:space="preserve">NOME: </t>
  </si>
  <si>
    <t>CPF</t>
  </si>
  <si>
    <t>TELEFONE</t>
  </si>
  <si>
    <t>E-MAIL</t>
  </si>
  <si>
    <t>CLIENTE</t>
  </si>
  <si>
    <t>NOME</t>
  </si>
  <si>
    <t xml:space="preserve">TELEFONE </t>
  </si>
  <si>
    <t>SERVIÇO</t>
  </si>
  <si>
    <t>VALOR</t>
  </si>
  <si>
    <t>PARCELAS</t>
  </si>
  <si>
    <t>PARCELAMENTO</t>
  </si>
  <si>
    <t>VALOR PARCELA</t>
  </si>
  <si>
    <t>Valor da Parcela</t>
  </si>
  <si>
    <t>MENU</t>
  </si>
  <si>
    <t>DATA SERVIÇO</t>
  </si>
  <si>
    <t>DATA PAGAMENTO</t>
  </si>
  <si>
    <t>A@</t>
  </si>
  <si>
    <t>B@</t>
  </si>
  <si>
    <t>C@</t>
  </si>
  <si>
    <t>BELTRANO DE SOUSA</t>
  </si>
  <si>
    <t>SICRANO DA SILVA</t>
  </si>
  <si>
    <t>JOAO NINGUEM</t>
  </si>
  <si>
    <t>Digite o nome do cliente</t>
  </si>
  <si>
    <t>SERVIÇOS</t>
  </si>
  <si>
    <t>DESDE</t>
  </si>
  <si>
    <t>DATA CADASTRO</t>
  </si>
  <si>
    <t>31/02/2021</t>
  </si>
  <si>
    <t>Serviços</t>
  </si>
  <si>
    <t>Data do Serviço</t>
  </si>
  <si>
    <t>Data do Pagamento</t>
  </si>
  <si>
    <t>Num. De Parcelas</t>
  </si>
  <si>
    <t>Transporte</t>
  </si>
  <si>
    <t>MÊS SERVIÇO</t>
  </si>
  <si>
    <t>ANO SERVIÇO</t>
  </si>
  <si>
    <t>MÊS PAGAMENTO</t>
  </si>
  <si>
    <t>ANO PAGAMENTO</t>
  </si>
  <si>
    <t>RESUMOS</t>
  </si>
  <si>
    <t>CLIENTES</t>
  </si>
  <si>
    <t>Total Geral</t>
  </si>
  <si>
    <t>janeiro</t>
  </si>
  <si>
    <t>fevereiro</t>
  </si>
  <si>
    <t>março</t>
  </si>
  <si>
    <t>2023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</si>
  <si>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</si>
  <si>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</si>
  <si>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</si>
  <si>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</si>
  <si>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</si>
  <si>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</si>
  <si>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</si>
  <si>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</si>
  <si>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PAGAMENTOS</t>
  </si>
  <si>
    <t>RECEITAS</t>
  </si>
  <si>
    <t>Relatorios</t>
  </si>
  <si>
    <t>DETALHES</t>
  </si>
  <si>
    <t>VALOR SERVIÇO</t>
  </si>
  <si>
    <t xml:space="preserve"> VALORES DO MÊS</t>
  </si>
  <si>
    <t>ZE DO POVO</t>
  </si>
  <si>
    <t>ZE@</t>
  </si>
  <si>
    <t>PRAIEIRO</t>
  </si>
  <si>
    <t>ZE</t>
  </si>
  <si>
    <t>ALMOCO</t>
  </si>
  <si>
    <t>dezembro</t>
  </si>
  <si>
    <t>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</si>
</sst>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4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499984740745262"/>
      </top>
      <bottom style="medium">
        <color theme="0" tint="-0.24994659260841701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double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6" fillId="4" borderId="0" xfId="0" applyFont="1" applyFill="1" applyAlignment="1">
      <alignment vertical="center"/>
    </xf>
    <xf numFmtId="0" fontId="0" fillId="4" borderId="4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0" fillId="5" borderId="5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2" fillId="0" borderId="0" xfId="2"/>
    <xf numFmtId="0" fontId="11" fillId="2" borderId="0" xfId="2" applyFont="1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7" borderId="5" xfId="0" applyNumberFormat="1" applyFill="1" applyBorder="1" applyAlignment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44" fontId="12" fillId="5" borderId="14" xfId="1" applyFont="1" applyFill="1" applyBorder="1" applyAlignment="1">
      <alignment horizontal="center" vertical="center"/>
    </xf>
    <xf numFmtId="44" fontId="12" fillId="5" borderId="9" xfId="1" applyFont="1" applyFill="1" applyBorder="1" applyAlignment="1">
      <alignment horizontal="center" vertical="center"/>
    </xf>
    <xf numFmtId="44" fontId="12" fillId="5" borderId="19" xfId="1" applyFont="1" applyFill="1" applyBorder="1" applyAlignment="1">
      <alignment horizontal="center" vertical="center"/>
    </xf>
    <xf numFmtId="44" fontId="12" fillId="5" borderId="15" xfId="1" applyFont="1" applyFill="1" applyBorder="1" applyAlignment="1">
      <alignment horizontal="center" vertical="center"/>
    </xf>
    <xf numFmtId="44" fontId="12" fillId="5" borderId="17" xfId="1" applyFont="1" applyFill="1" applyBorder="1" applyAlignment="1">
      <alignment horizontal="center" vertical="center"/>
    </xf>
    <xf numFmtId="44" fontId="12" fillId="5" borderId="20" xfId="1" applyFont="1" applyFill="1" applyBorder="1" applyAlignment="1">
      <alignment horizontal="center" vertical="center"/>
    </xf>
    <xf numFmtId="14" fontId="13" fillId="4" borderId="14" xfId="0" applyNumberFormat="1" applyFont="1" applyFill="1" applyBorder="1" applyAlignment="1">
      <alignment horizontal="center" vertical="center"/>
    </xf>
    <xf numFmtId="14" fontId="13" fillId="4" borderId="9" xfId="0" applyNumberFormat="1" applyFont="1" applyFill="1" applyBorder="1" applyAlignment="1">
      <alignment horizontal="center" vertical="center"/>
    </xf>
    <xf numFmtId="14" fontId="13" fillId="4" borderId="19" xfId="0" applyNumberFormat="1" applyFont="1" applyFill="1" applyBorder="1" applyAlignment="1">
      <alignment horizontal="center" vertical="center"/>
    </xf>
    <xf numFmtId="44" fontId="14" fillId="5" borderId="21" xfId="1" applyFont="1" applyFill="1" applyBorder="1" applyAlignment="1">
      <alignment horizontal="center" vertical="center"/>
    </xf>
    <xf numFmtId="14" fontId="0" fillId="5" borderId="22" xfId="0" applyNumberFormat="1" applyFill="1" applyBorder="1" applyAlignment="1">
      <alignment horizontal="right" vertical="center"/>
    </xf>
    <xf numFmtId="44" fontId="14" fillId="5" borderId="22" xfId="1" applyFont="1" applyFill="1" applyBorder="1" applyAlignment="1">
      <alignment horizontal="right" vertical="center"/>
    </xf>
    <xf numFmtId="14" fontId="0" fillId="5" borderId="5" xfId="0" applyNumberFormat="1" applyFill="1" applyBorder="1" applyAlignment="1">
      <alignment horizontal="right" vertical="center"/>
    </xf>
    <xf numFmtId="0" fontId="0" fillId="5" borderId="23" xfId="0" applyFill="1" applyBorder="1" applyAlignment="1">
      <alignment horizontal="left" vertical="center"/>
    </xf>
    <xf numFmtId="43" fontId="0" fillId="0" borderId="0" xfId="3" applyFont="1"/>
    <xf numFmtId="0" fontId="0" fillId="10" borderId="24" xfId="0" applyFill="1" applyBorder="1"/>
    <xf numFmtId="0" fontId="0" fillId="10" borderId="25" xfId="0" applyFill="1" applyBorder="1"/>
    <xf numFmtId="0" fontId="0" fillId="10" borderId="26" xfId="0" applyFill="1" applyBorder="1"/>
    <xf numFmtId="0" fontId="0" fillId="0" borderId="0" xfId="0" pivotButton="1"/>
    <xf numFmtId="43" fontId="0" fillId="0" borderId="0" xfId="0" applyNumberFormat="1"/>
    <xf numFmtId="0" fontId="16" fillId="11" borderId="0" xfId="0" applyFont="1" applyFill="1" applyAlignment="1">
      <alignment horizontal="center"/>
    </xf>
    <xf numFmtId="0" fontId="16" fillId="12" borderId="0" xfId="0" applyFont="1" applyFill="1" applyAlignment="1">
      <alignment horizontal="center"/>
    </xf>
    <xf numFmtId="0" fontId="0" fillId="13" borderId="0" xfId="0" applyFill="1"/>
    <xf numFmtId="3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10" borderId="0" xfId="0" applyFill="1"/>
    <xf numFmtId="14" fontId="0" fillId="10" borderId="0" xfId="0" applyNumberFormat="1" applyFill="1"/>
    <xf numFmtId="43" fontId="0" fillId="10" borderId="0" xfId="3" applyFont="1" applyFill="1" applyBorder="1"/>
    <xf numFmtId="14" fontId="0" fillId="10" borderId="8" xfId="0" applyNumberFormat="1" applyFill="1" applyBorder="1" applyAlignment="1">
      <alignment horizontal="left" vertical="center"/>
    </xf>
    <xf numFmtId="14" fontId="0" fillId="10" borderId="0" xfId="0" applyNumberFormat="1" applyFill="1" applyAlignment="1">
      <alignment horizontal="left" vertical="center"/>
    </xf>
    <xf numFmtId="0" fontId="5" fillId="9" borderId="1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16" fillId="11" borderId="0" xfId="0" applyFont="1" applyFill="1" applyAlignment="1">
      <alignment horizontal="center"/>
    </xf>
  </cellXfs>
  <cellStyles count="4">
    <cellStyle name="Hiperlink" xfId="2" builtinId="8"/>
    <cellStyle name="Moeda" xfId="1" builtinId="4"/>
    <cellStyle name="Normal" xfId="0" builtinId="0"/>
    <cellStyle name="Vírgula" xfId="3" builtinId="3"/>
  </cellStyles>
  <dxfs count="3"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</dxfs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120650</xdr:rowOff>
    </xdr:from>
    <xdr:to>
      <xdr:col>16</xdr:col>
      <xdr:colOff>508000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925F30B-A029-4F31-B338-604CE66C90CC}"/>
            </a:ext>
          </a:extLst>
        </xdr:cNvPr>
        <xdr:cNvSpPr/>
      </xdr:nvSpPr>
      <xdr:spPr>
        <a:xfrm>
          <a:off x="1066800" y="12065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311150</xdr:colOff>
      <xdr:row>1</xdr:row>
      <xdr:rowOff>95250</xdr:rowOff>
    </xdr:from>
    <xdr:to>
      <xdr:col>12</xdr:col>
      <xdr:colOff>50800</xdr:colOff>
      <xdr:row>3</xdr:row>
      <xdr:rowOff>114300</xdr:rowOff>
    </xdr:to>
    <xdr:sp macro="" textlink="">
      <xdr:nvSpPr>
        <xdr:cNvPr id="4" name="Hexágono 3">
          <a:extLst>
            <a:ext uri="{FF2B5EF4-FFF2-40B4-BE49-F238E27FC236}">
              <a16:creationId xmlns:a16="http://schemas.microsoft.com/office/drawing/2014/main" id="{E0051FA1-5EED-A846-EB18-ACFEE1195FCE}"/>
            </a:ext>
          </a:extLst>
        </xdr:cNvPr>
        <xdr:cNvSpPr/>
      </xdr:nvSpPr>
      <xdr:spPr>
        <a:xfrm>
          <a:off x="3708400" y="781050"/>
          <a:ext cx="4006850" cy="482600"/>
        </a:xfrm>
        <a:prstGeom prst="hexagon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Amasis MT Pro Black" panose="02040A04050005020304" pitchFamily="18" charset="0"/>
            </a:rPr>
            <a:t>CADASTRO DE CLIENTES</a:t>
          </a:r>
        </a:p>
      </xdr:txBody>
    </xdr:sp>
    <xdr:clientData/>
  </xdr:twoCellAnchor>
  <xdr:twoCellAnchor>
    <xdr:from>
      <xdr:col>6</xdr:col>
      <xdr:colOff>28575</xdr:colOff>
      <xdr:row>13</xdr:row>
      <xdr:rowOff>19049</xdr:rowOff>
    </xdr:from>
    <xdr:to>
      <xdr:col>8</xdr:col>
      <xdr:colOff>213375</xdr:colOff>
      <xdr:row>15</xdr:row>
      <xdr:rowOff>34049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40BA869-8144-E42E-E6A6-546908E3C8CB}"/>
            </a:ext>
          </a:extLst>
        </xdr:cNvPr>
        <xdr:cNvSpPr/>
      </xdr:nvSpPr>
      <xdr:spPr>
        <a:xfrm>
          <a:off x="3629025" y="3105149"/>
          <a:ext cx="140400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9</xdr:col>
      <xdr:colOff>447675</xdr:colOff>
      <xdr:row>13</xdr:row>
      <xdr:rowOff>47624</xdr:rowOff>
    </xdr:from>
    <xdr:to>
      <xdr:col>12</xdr:col>
      <xdr:colOff>22875</xdr:colOff>
      <xdr:row>15</xdr:row>
      <xdr:rowOff>62624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C0D1588-B782-49CD-91B3-A4E43D6E0C79}"/>
            </a:ext>
          </a:extLst>
        </xdr:cNvPr>
        <xdr:cNvSpPr/>
      </xdr:nvSpPr>
      <xdr:spPr>
        <a:xfrm>
          <a:off x="5876925" y="3133724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203200</xdr:rowOff>
    </xdr:from>
    <xdr:to>
      <xdr:col>15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7</xdr:col>
      <xdr:colOff>990600</xdr:colOff>
      <xdr:row>12</xdr:row>
      <xdr:rowOff>142875</xdr:rowOff>
    </xdr:from>
    <xdr:to>
      <xdr:col>8</xdr:col>
      <xdr:colOff>1365900</xdr:colOff>
      <xdr:row>14</xdr:row>
      <xdr:rowOff>138825</xdr:rowOff>
    </xdr:to>
    <xdr:sp macro="[0]!Macro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5067300" y="3686175"/>
          <a:ext cx="140400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10</xdr:col>
      <xdr:colOff>114300</xdr:colOff>
      <xdr:row>12</xdr:row>
      <xdr:rowOff>152400</xdr:rowOff>
    </xdr:from>
    <xdr:to>
      <xdr:col>11</xdr:col>
      <xdr:colOff>822975</xdr:colOff>
      <xdr:row>14</xdr:row>
      <xdr:rowOff>148350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6858000" y="36957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847725</xdr:colOff>
      <xdr:row>9</xdr:row>
      <xdr:rowOff>47625</xdr:rowOff>
    </xdr:from>
    <xdr:to>
      <xdr:col>7</xdr:col>
      <xdr:colOff>466725</xdr:colOff>
      <xdr:row>22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NO PAGAMENTO">
              <a:extLst>
                <a:ext uri="{FF2B5EF4-FFF2-40B4-BE49-F238E27FC236}">
                  <a16:creationId xmlns:a16="http://schemas.microsoft.com/office/drawing/2014/main" id="{7BB32168-B698-45E2-21F3-70371B97F5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8000" y="24384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190500</xdr:colOff>
      <xdr:row>0</xdr:row>
      <xdr:rowOff>120650</xdr:rowOff>
    </xdr:from>
    <xdr:to>
      <xdr:col>15</xdr:col>
      <xdr:colOff>0</xdr:colOff>
      <xdr:row>0</xdr:row>
      <xdr:rowOff>577850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095375" y="120650"/>
          <a:ext cx="910907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857250</xdr:colOff>
      <xdr:row>13</xdr:row>
      <xdr:rowOff>133350</xdr:rowOff>
    </xdr:from>
    <xdr:to>
      <xdr:col>7</xdr:col>
      <xdr:colOff>476250</xdr:colOff>
      <xdr:row>31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 PAGAMENTO">
              <a:extLst>
                <a:ext uri="{FF2B5EF4-FFF2-40B4-BE49-F238E27FC236}">
                  <a16:creationId xmlns:a16="http://schemas.microsoft.com/office/drawing/2014/main" id="{7F6678F1-313D-DC16-992C-C0E7C91896D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57525" y="3295650"/>
              <a:ext cx="1828800" cy="3381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9</xdr:row>
      <xdr:rowOff>28575</xdr:rowOff>
    </xdr:from>
    <xdr:to>
      <xdr:col>5</xdr:col>
      <xdr:colOff>762000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A035A77F-D56A-EE6D-1E92-B9904D1631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3475" y="2419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28575</xdr:colOff>
      <xdr:row>12</xdr:row>
      <xdr:rowOff>66675</xdr:rowOff>
    </xdr:from>
    <xdr:to>
      <xdr:col>5</xdr:col>
      <xdr:colOff>771525</xdr:colOff>
      <xdr:row>25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64BDC77-4AC9-008A-2137-5AF37432E8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0" y="3038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099.535040740739" createdVersion="8" refreshedVersion="8" minRefreshableVersion="3" recordCount="41" xr:uid="{C6839D82-86D1-41BE-8887-6016E1C10C78}">
  <cacheSource type="worksheet">
    <worksheetSource ref="A1:N52" sheet="DADOS VENDAS"/>
  </cacheSource>
  <cacheFields count="14">
    <cacheField name="NOME" numFmtId="0">
      <sharedItems count="4">
        <s v="ZE DO POVO"/>
        <s v="BELTRANO DE SOUSA"/>
        <s v="SICRANO DA SILVA"/>
        <s v="JOAO NINGUEM"/>
      </sharedItems>
    </cacheField>
    <cacheField name="CPF" numFmtId="0">
      <sharedItems containsSemiMixedTypes="0" containsString="0" containsNumber="1" containsInteger="1" minValue="1010101010" maxValue="3030303030303"/>
    </cacheField>
    <cacheField name="TELEFONE " numFmtId="0">
      <sharedItems containsSemiMixedTypes="0" containsString="0" containsNumber="1" containsInteger="1" minValue="22222" maxValue="1122334445"/>
    </cacheField>
    <cacheField name="E-MAIL" numFmtId="0">
      <sharedItems/>
    </cacheField>
    <cacheField name="SERVIÇO" numFmtId="0">
      <sharedItems/>
    </cacheField>
    <cacheField name="DATA SERVIÇO" numFmtId="14">
      <sharedItems containsSemiMixedTypes="0" containsNonDate="0" containsDate="1" containsString="0" minDate="2023-01-12T00:00:00" maxDate="2023-05-25T00:00:00"/>
    </cacheField>
    <cacheField name="DATA PAGAMENTO" numFmtId="14">
      <sharedItems containsSemiMixedTypes="0" containsNonDate="0" containsDate="1" containsString="0" minDate="2023-01-12T00:00:00" maxDate="2024-03-01T00:00:00"/>
    </cacheField>
    <cacheField name="VALOR SERVIÇO" numFmtId="0">
      <sharedItems containsString="0" containsBlank="1" containsNumber="1" containsInteger="1" minValue="150" maxValue="542"/>
    </cacheField>
    <cacheField name="PARCELAS" numFmtId="0">
      <sharedItems containsSemiMixedTypes="0" containsString="0" containsNumber="1" containsInteger="1" minValue="1" maxValue="10"/>
    </cacheField>
    <cacheField name="VALOR PARCELA" numFmtId="43">
      <sharedItems containsSemiMixedTypes="0" containsString="0" containsNumber="1" minValue="18.75" maxValue="77.428571428571431"/>
    </cacheField>
    <cacheField name="MÊS SERVIÇO" numFmtId="0">
      <sharedItems count="4">
        <s v="maio"/>
        <s v="fevereiro"/>
        <s v="março"/>
        <s v="janeiro"/>
      </sharedItems>
    </cacheField>
    <cacheField name="ANO SERVIÇO" numFmtId="0">
      <sharedItems count="1">
        <s v="2023"/>
      </sharedItems>
    </cacheField>
    <cacheField name="MÊS PAGAMENTO" numFmtId="0">
      <sharedItems count="12">
        <s v="maio"/>
        <s v="junho"/>
        <s v="julho"/>
        <s v="agosto"/>
        <s v="setembro"/>
        <s v="outubro"/>
        <s v="novembro"/>
        <s v="dezembro"/>
        <s v="janeiro"/>
        <s v="fevereiro"/>
        <s v="março"/>
        <s v="abril"/>
      </sharedItems>
    </cacheField>
    <cacheField name="ANO PAGAMENTO" numFmtId="0">
      <sharedItems count="2">
        <s v="2023"/>
        <s v="2024"/>
      </sharedItems>
    </cacheField>
  </cacheFields>
  <extLst>
    <ext xmlns:x14="http://schemas.microsoft.com/office/spreadsheetml/2009/9/main" uri="{725AE2AE-9491-48be-B2B4-4EB974FC3084}">
      <x14:pivotCacheDefinition pivotCacheId="100907056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n v="33311122200"/>
    <n v="1122334445"/>
    <s v="ZE@"/>
    <s v="ALMOCO"/>
    <d v="2023-05-24T00:00:00"/>
    <d v="2023-05-30T00:00:00"/>
    <n v="150"/>
    <n v="1"/>
    <n v="18.75"/>
    <x v="0"/>
    <x v="0"/>
    <x v="0"/>
    <x v="0"/>
  </r>
  <r>
    <x v="0"/>
    <n v="33311122200"/>
    <n v="1122334445"/>
    <s v="ZE@"/>
    <s v="ALMOCO"/>
    <d v="2023-05-24T00:00:00"/>
    <d v="2023-06-30T00:00:00"/>
    <m/>
    <n v="2"/>
    <n v="18.75"/>
    <x v="0"/>
    <x v="0"/>
    <x v="1"/>
    <x v="0"/>
  </r>
  <r>
    <x v="0"/>
    <n v="33311122200"/>
    <n v="1122334445"/>
    <s v="ZE@"/>
    <s v="ALMOCO"/>
    <d v="2023-05-24T00:00:00"/>
    <d v="2023-07-30T00:00:00"/>
    <m/>
    <n v="3"/>
    <n v="18.75"/>
    <x v="0"/>
    <x v="0"/>
    <x v="2"/>
    <x v="0"/>
  </r>
  <r>
    <x v="0"/>
    <n v="33311122200"/>
    <n v="1122334445"/>
    <s v="ZE@"/>
    <s v="ALMOCO"/>
    <d v="2023-05-24T00:00:00"/>
    <d v="2023-08-30T00:00:00"/>
    <m/>
    <n v="4"/>
    <n v="18.75"/>
    <x v="0"/>
    <x v="0"/>
    <x v="3"/>
    <x v="0"/>
  </r>
  <r>
    <x v="0"/>
    <n v="33311122200"/>
    <n v="1122334445"/>
    <s v="ZE@"/>
    <s v="ALMOCO"/>
    <d v="2023-05-24T00:00:00"/>
    <d v="2023-09-30T00:00:00"/>
    <m/>
    <n v="5"/>
    <n v="18.75"/>
    <x v="0"/>
    <x v="0"/>
    <x v="4"/>
    <x v="0"/>
  </r>
  <r>
    <x v="0"/>
    <n v="33311122200"/>
    <n v="1122334445"/>
    <s v="ZE@"/>
    <s v="ALMOCO"/>
    <d v="2023-05-24T00:00:00"/>
    <d v="2023-10-30T00:00:00"/>
    <m/>
    <n v="6"/>
    <n v="18.75"/>
    <x v="0"/>
    <x v="0"/>
    <x v="5"/>
    <x v="0"/>
  </r>
  <r>
    <x v="0"/>
    <n v="33311122200"/>
    <n v="1122334445"/>
    <s v="ZE@"/>
    <s v="ALMOCO"/>
    <d v="2023-05-24T00:00:00"/>
    <d v="2023-11-30T00:00:00"/>
    <m/>
    <n v="7"/>
    <n v="18.75"/>
    <x v="0"/>
    <x v="0"/>
    <x v="6"/>
    <x v="0"/>
  </r>
  <r>
    <x v="0"/>
    <n v="33311122200"/>
    <n v="1122334445"/>
    <s v="ZE@"/>
    <s v="ALMOCO"/>
    <d v="2023-05-24T00:00:00"/>
    <d v="2023-12-30T00:00:00"/>
    <m/>
    <n v="8"/>
    <n v="18.75"/>
    <x v="0"/>
    <x v="0"/>
    <x v="7"/>
    <x v="0"/>
  </r>
  <r>
    <x v="0"/>
    <n v="33311122200"/>
    <n v="1122334445"/>
    <s v="ZE@"/>
    <s v="ALMOCO"/>
    <d v="2023-05-24T00:00:00"/>
    <d v="2024-01-30T00:00:00"/>
    <m/>
    <n v="9"/>
    <n v="18.75"/>
    <x v="0"/>
    <x v="0"/>
    <x v="8"/>
    <x v="1"/>
  </r>
  <r>
    <x v="0"/>
    <n v="33311122200"/>
    <n v="1122334445"/>
    <s v="ZE@"/>
    <s v="ALMOCO"/>
    <d v="2023-05-24T00:00:00"/>
    <d v="2024-02-29T00:00:00"/>
    <m/>
    <n v="10"/>
    <n v="18.75"/>
    <x v="0"/>
    <x v="0"/>
    <x v="9"/>
    <x v="1"/>
  </r>
  <r>
    <x v="0"/>
    <n v="33311122200"/>
    <n v="1122334445"/>
    <s v="ZE@"/>
    <s v="Transporte"/>
    <d v="2023-02-21T00:00:00"/>
    <d v="2023-02-25T00:00:00"/>
    <n v="542"/>
    <n v="1"/>
    <n v="77.428571428571431"/>
    <x v="1"/>
    <x v="0"/>
    <x v="9"/>
    <x v="0"/>
  </r>
  <r>
    <x v="0"/>
    <n v="33311122200"/>
    <n v="1122334445"/>
    <s v="ZE@"/>
    <s v="Transporte"/>
    <d v="2023-02-21T00:00:00"/>
    <d v="2023-03-25T00:00:00"/>
    <m/>
    <n v="2"/>
    <n v="77.428571428571431"/>
    <x v="1"/>
    <x v="0"/>
    <x v="10"/>
    <x v="0"/>
  </r>
  <r>
    <x v="0"/>
    <n v="33311122200"/>
    <n v="1122334445"/>
    <s v="ZE@"/>
    <s v="Transporte"/>
    <d v="2023-02-21T00:00:00"/>
    <d v="2023-04-25T00:00:00"/>
    <m/>
    <n v="3"/>
    <n v="77.428571428571431"/>
    <x v="1"/>
    <x v="0"/>
    <x v="11"/>
    <x v="0"/>
  </r>
  <r>
    <x v="0"/>
    <n v="33311122200"/>
    <n v="1122334445"/>
    <s v="ZE@"/>
    <s v="Transporte"/>
    <d v="2023-02-21T00:00:00"/>
    <d v="2023-05-25T00:00:00"/>
    <m/>
    <n v="4"/>
    <n v="77.428571428571431"/>
    <x v="1"/>
    <x v="0"/>
    <x v="0"/>
    <x v="0"/>
  </r>
  <r>
    <x v="0"/>
    <n v="33311122200"/>
    <n v="1122334445"/>
    <s v="ZE@"/>
    <s v="Transporte"/>
    <d v="2023-02-21T00:00:00"/>
    <d v="2023-06-25T00:00:00"/>
    <m/>
    <n v="5"/>
    <n v="77.428571428571431"/>
    <x v="1"/>
    <x v="0"/>
    <x v="1"/>
    <x v="0"/>
  </r>
  <r>
    <x v="0"/>
    <n v="33311122200"/>
    <n v="1122334445"/>
    <s v="ZE@"/>
    <s v="Transporte"/>
    <d v="2023-02-21T00:00:00"/>
    <d v="2023-07-25T00:00:00"/>
    <m/>
    <n v="6"/>
    <n v="77.428571428571431"/>
    <x v="1"/>
    <x v="0"/>
    <x v="2"/>
    <x v="0"/>
  </r>
  <r>
    <x v="0"/>
    <n v="33311122200"/>
    <n v="1122334445"/>
    <s v="ZE@"/>
    <s v="Transporte"/>
    <d v="2023-02-21T00:00:00"/>
    <d v="2023-08-25T00:00:00"/>
    <m/>
    <n v="7"/>
    <n v="77.428571428571431"/>
    <x v="1"/>
    <x v="0"/>
    <x v="3"/>
    <x v="0"/>
  </r>
  <r>
    <x v="0"/>
    <n v="33311122200"/>
    <n v="1122334445"/>
    <s v="ZE@"/>
    <s v="Transporte"/>
    <d v="2023-02-21T00:00:00"/>
    <d v="2023-09-25T00:00:00"/>
    <m/>
    <n v="8"/>
    <n v="77.428571428571431"/>
    <x v="1"/>
    <x v="0"/>
    <x v="4"/>
    <x v="0"/>
  </r>
  <r>
    <x v="0"/>
    <n v="33311122200"/>
    <n v="1122334445"/>
    <s v="ZE@"/>
    <s v="Transporte"/>
    <d v="2023-02-21T00:00:00"/>
    <d v="2023-10-25T00:00:00"/>
    <m/>
    <n v="9"/>
    <n v="77.428571428571431"/>
    <x v="1"/>
    <x v="0"/>
    <x v="5"/>
    <x v="0"/>
  </r>
  <r>
    <x v="0"/>
    <n v="33311122200"/>
    <n v="1122334445"/>
    <s v="ZE@"/>
    <s v="Transporte"/>
    <d v="2023-02-21T00:00:00"/>
    <d v="2023-11-25T00:00:00"/>
    <m/>
    <n v="10"/>
    <n v="77.428571428571431"/>
    <x v="1"/>
    <x v="0"/>
    <x v="6"/>
    <x v="0"/>
  </r>
  <r>
    <x v="1"/>
    <n v="1010101010"/>
    <n v="1111111"/>
    <s v="A@"/>
    <s v="PRAIEIRO"/>
    <d v="2023-02-21T00:00:00"/>
    <d v="2023-02-25T00:00:00"/>
    <n v="240"/>
    <n v="10"/>
    <n v="24"/>
    <x v="1"/>
    <x v="0"/>
    <x v="9"/>
    <x v="0"/>
  </r>
  <r>
    <x v="1"/>
    <n v="1010101010"/>
    <n v="1111111"/>
    <s v="A@"/>
    <s v="PRAIEIRO"/>
    <d v="2023-02-21T00:00:00"/>
    <d v="2023-03-25T00:00:00"/>
    <m/>
    <n v="10"/>
    <n v="24"/>
    <x v="1"/>
    <x v="0"/>
    <x v="10"/>
    <x v="0"/>
  </r>
  <r>
    <x v="1"/>
    <n v="1010101010"/>
    <n v="1111111"/>
    <s v="A@"/>
    <s v="PRAIEIRO"/>
    <d v="2023-02-21T00:00:00"/>
    <d v="2023-04-25T00:00:00"/>
    <m/>
    <n v="10"/>
    <n v="24"/>
    <x v="1"/>
    <x v="0"/>
    <x v="11"/>
    <x v="0"/>
  </r>
  <r>
    <x v="1"/>
    <n v="1010101010"/>
    <n v="1111111"/>
    <s v="A@"/>
    <s v="PRAIEIRO"/>
    <d v="2023-02-21T00:00:00"/>
    <d v="2023-05-25T00:00:00"/>
    <m/>
    <n v="10"/>
    <n v="24"/>
    <x v="1"/>
    <x v="0"/>
    <x v="0"/>
    <x v="0"/>
  </r>
  <r>
    <x v="1"/>
    <n v="1010101010"/>
    <n v="1111111"/>
    <s v="A@"/>
    <s v="PRAIEIRO"/>
    <d v="2023-02-21T00:00:00"/>
    <d v="2023-06-25T00:00:00"/>
    <m/>
    <n v="10"/>
    <n v="24"/>
    <x v="1"/>
    <x v="0"/>
    <x v="1"/>
    <x v="0"/>
  </r>
  <r>
    <x v="1"/>
    <n v="1010101010"/>
    <n v="1111111"/>
    <s v="A@"/>
    <s v="PRAIEIRO"/>
    <d v="2023-02-21T00:00:00"/>
    <d v="2023-07-25T00:00:00"/>
    <m/>
    <n v="10"/>
    <n v="24"/>
    <x v="1"/>
    <x v="0"/>
    <x v="2"/>
    <x v="0"/>
  </r>
  <r>
    <x v="1"/>
    <n v="1010101010"/>
    <n v="1111111"/>
    <s v="A@"/>
    <s v="PRAIEIRO"/>
    <d v="2023-02-21T00:00:00"/>
    <d v="2023-08-25T00:00:00"/>
    <m/>
    <n v="10"/>
    <n v="24"/>
    <x v="1"/>
    <x v="0"/>
    <x v="3"/>
    <x v="0"/>
  </r>
  <r>
    <x v="1"/>
    <n v="1010101010"/>
    <n v="1111111"/>
    <s v="A@"/>
    <s v="PRAIEIRO"/>
    <d v="2023-02-21T00:00:00"/>
    <d v="2023-09-25T00:00:00"/>
    <m/>
    <n v="10"/>
    <n v="24"/>
    <x v="1"/>
    <x v="0"/>
    <x v="4"/>
    <x v="0"/>
  </r>
  <r>
    <x v="1"/>
    <n v="1010101010"/>
    <n v="1111111"/>
    <s v="A@"/>
    <s v="PRAIEIRO"/>
    <d v="2023-02-21T00:00:00"/>
    <d v="2023-10-25T00:00:00"/>
    <m/>
    <n v="10"/>
    <n v="24"/>
    <x v="1"/>
    <x v="0"/>
    <x v="5"/>
    <x v="0"/>
  </r>
  <r>
    <x v="1"/>
    <n v="1010101010"/>
    <n v="1111111"/>
    <s v="A@"/>
    <s v="PRAIEIRO"/>
    <d v="2023-02-21T00:00:00"/>
    <d v="2023-11-25T00:00:00"/>
    <m/>
    <n v="10"/>
    <n v="24"/>
    <x v="1"/>
    <x v="0"/>
    <x v="6"/>
    <x v="0"/>
  </r>
  <r>
    <x v="2"/>
    <n v="202020202020"/>
    <n v="22222"/>
    <s v="B@"/>
    <s v="PRAIEIRO"/>
    <d v="2023-03-23T00:00:00"/>
    <d v="2023-03-29T00:00:00"/>
    <n v="250"/>
    <n v="5"/>
    <n v="50"/>
    <x v="2"/>
    <x v="0"/>
    <x v="10"/>
    <x v="0"/>
  </r>
  <r>
    <x v="2"/>
    <n v="202020202020"/>
    <n v="22222"/>
    <s v="B@"/>
    <s v="PRAIEIRO"/>
    <d v="2023-03-23T00:00:00"/>
    <d v="2023-04-29T00:00:00"/>
    <m/>
    <n v="5"/>
    <n v="50"/>
    <x v="2"/>
    <x v="0"/>
    <x v="11"/>
    <x v="0"/>
  </r>
  <r>
    <x v="2"/>
    <n v="202020202020"/>
    <n v="22222"/>
    <s v="B@"/>
    <s v="PRAIEIRO"/>
    <d v="2023-03-23T00:00:00"/>
    <d v="2023-05-29T00:00:00"/>
    <m/>
    <n v="5"/>
    <n v="50"/>
    <x v="2"/>
    <x v="0"/>
    <x v="0"/>
    <x v="0"/>
  </r>
  <r>
    <x v="2"/>
    <n v="202020202020"/>
    <n v="22222"/>
    <s v="B@"/>
    <s v="PRAIEIRO"/>
    <d v="2023-03-23T00:00:00"/>
    <d v="2023-06-29T00:00:00"/>
    <m/>
    <n v="5"/>
    <n v="50"/>
    <x v="2"/>
    <x v="0"/>
    <x v="1"/>
    <x v="0"/>
  </r>
  <r>
    <x v="2"/>
    <n v="202020202020"/>
    <n v="22222"/>
    <s v="B@"/>
    <s v="PRAIEIRO"/>
    <d v="2023-03-23T00:00:00"/>
    <d v="2023-07-29T00:00:00"/>
    <m/>
    <n v="5"/>
    <n v="50"/>
    <x v="2"/>
    <x v="0"/>
    <x v="2"/>
    <x v="0"/>
  </r>
  <r>
    <x v="3"/>
    <n v="3030303030303"/>
    <n v="33333"/>
    <s v="C@"/>
    <s v="PRAIEIRO"/>
    <d v="2023-01-12T00:00:00"/>
    <d v="2023-01-12T00:00:00"/>
    <n v="360"/>
    <n v="6"/>
    <n v="60"/>
    <x v="3"/>
    <x v="0"/>
    <x v="8"/>
    <x v="0"/>
  </r>
  <r>
    <x v="3"/>
    <n v="3030303030303"/>
    <n v="33333"/>
    <s v="C@"/>
    <s v="PRAIEIRO"/>
    <d v="2023-01-12T00:00:00"/>
    <d v="2023-02-12T00:00:00"/>
    <m/>
    <n v="6"/>
    <n v="60"/>
    <x v="3"/>
    <x v="0"/>
    <x v="9"/>
    <x v="0"/>
  </r>
  <r>
    <x v="3"/>
    <n v="3030303030303"/>
    <n v="33333"/>
    <s v="C@"/>
    <s v="PRAIEIRO"/>
    <d v="2023-01-12T00:00:00"/>
    <d v="2023-03-12T00:00:00"/>
    <m/>
    <n v="6"/>
    <n v="60"/>
    <x v="3"/>
    <x v="0"/>
    <x v="10"/>
    <x v="0"/>
  </r>
  <r>
    <x v="3"/>
    <n v="3030303030303"/>
    <n v="33333"/>
    <s v="C@"/>
    <s v="PRAIEIRO"/>
    <d v="2023-01-12T00:00:00"/>
    <d v="2023-04-12T00:00:00"/>
    <m/>
    <n v="6"/>
    <n v="60"/>
    <x v="3"/>
    <x v="0"/>
    <x v="11"/>
    <x v="0"/>
  </r>
  <r>
    <x v="3"/>
    <n v="3030303030303"/>
    <n v="33333"/>
    <s v="C@"/>
    <s v="PRAIEIRO"/>
    <d v="2023-01-12T00:00:00"/>
    <d v="2023-05-12T00:00:00"/>
    <m/>
    <n v="6"/>
    <n v="60"/>
    <x v="3"/>
    <x v="0"/>
    <x v="0"/>
    <x v="0"/>
  </r>
  <r>
    <x v="3"/>
    <n v="3030303030303"/>
    <n v="33333"/>
    <s v="C@"/>
    <s v="PRAIEIRO"/>
    <d v="2023-01-12T00:00:00"/>
    <d v="2023-06-12T00:00:00"/>
    <m/>
    <n v="6"/>
    <n v="60"/>
    <x v="3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3CC57A-5C9A-41B7-8D10-517559BD868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F3:G8" firstHeaderRow="1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compact="0" numFmtId="43" outline="0" showAll="0" defaultSubtotal="0"/>
    <pivotField axis="axisRow" compact="0" outline="0" showAll="0" defaultSubtotal="0">
      <items count="4">
        <item x="3"/>
        <item x="1"/>
        <item x="2"/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>
      <items count="12">
        <item x="8"/>
        <item x="9"/>
        <item x="10"/>
        <item x="11"/>
        <item x="0"/>
        <item x="1"/>
        <item x="2"/>
        <item x="3"/>
        <item x="4"/>
        <item x="5"/>
        <item x="6"/>
        <item x="7"/>
      </items>
    </pivotField>
    <pivotField compact="0" outline="0" showAll="0" defaultSubtotal="0">
      <items count="2">
        <item x="0"/>
        <item x="1"/>
      </items>
    </pivotField>
  </pivotFields>
  <rowFields count="2">
    <field x="11"/>
    <field x="10"/>
  </rowFields>
  <rowItems count="5">
    <i>
      <x/>
      <x/>
    </i>
    <i r="1">
      <x v="1"/>
    </i>
    <i r="1">
      <x v="2"/>
    </i>
    <i r="1">
      <x v="3"/>
    </i>
    <i t="grand">
      <x/>
    </i>
  </rowItems>
  <colItems count="1">
    <i/>
  </colItem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9863CE-08E3-42E2-B396-DA10C77741C2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N3:Q9" firstHeaderRow="1" firstDataRow="1" firstDataCol="3"/>
  <pivotFields count="14">
    <pivotField axis="axisRow" compact="0" outline="0" showAll="0" defaultSubtotal="0">
      <items count="4">
        <item x="1"/>
        <item x="3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dataField="1" compact="0" numFmtId="43" outline="0" showAll="0" defaultSubtotal="0"/>
    <pivotField axis="axisRow" compact="0" outline="0" showAll="0" defaultSubtotal="0">
      <items count="4">
        <item x="3"/>
        <item x="1"/>
        <item x="2"/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>
      <items count="12">
        <item x="8"/>
        <item x="9"/>
        <item x="10"/>
        <item x="11"/>
        <item x="0"/>
        <item x="1"/>
        <item x="2"/>
        <item x="3"/>
        <item x="4"/>
        <item x="5"/>
        <item x="6"/>
        <item x="7"/>
      </items>
    </pivotField>
    <pivotField compact="0" outline="0" showAll="0" defaultSubtotal="0">
      <items count="2">
        <item x="0"/>
        <item x="1"/>
      </items>
    </pivotField>
  </pivotFields>
  <rowFields count="3">
    <field x="0"/>
    <field x="11"/>
    <field x="10"/>
  </rowFields>
  <rowItems count="6">
    <i>
      <x/>
      <x/>
      <x v="1"/>
    </i>
    <i>
      <x v="1"/>
      <x/>
      <x/>
    </i>
    <i>
      <x v="2"/>
      <x/>
      <x v="2"/>
    </i>
    <i>
      <x v="3"/>
      <x/>
      <x v="1"/>
    </i>
    <i r="2">
      <x v="3"/>
    </i>
    <i t="grand">
      <x/>
    </i>
  </rowItems>
  <colItems count="1">
    <i/>
  </colItems>
  <dataFields count="1">
    <dataField name=" VALORES DO MÊS" fld="9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1C47D-BEB1-4F98-A602-D67A721CB2CC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J3:L18" firstHeaderRow="1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dataField="1" compact="0" numFmtId="43" outline="0" showAll="0" defaultSubtotal="0"/>
    <pivotField compact="0" outline="0" showAll="0" defaultSubtotal="0">
      <items count="4">
        <item x="3"/>
        <item x="1"/>
        <item x="2"/>
        <item x="0"/>
      </items>
    </pivotField>
    <pivotField compact="0" outline="0" showAll="0" defaultSubtotal="0">
      <items count="1">
        <item x="0"/>
      </items>
    </pivotField>
    <pivotField axis="axisRow" compact="0" outline="0" showAll="0" defaultSubtotal="0">
      <items count="12">
        <item x="8"/>
        <item x="9"/>
        <item x="10"/>
        <item x="11"/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2">
        <item x="0"/>
        <item x="1"/>
      </items>
    </pivotField>
  </pivotFields>
  <rowFields count="2">
    <field x="13"/>
    <field x="12"/>
  </rowFields>
  <rowItems count="1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  <x/>
    </i>
    <i r="1">
      <x v="1"/>
    </i>
    <i t="grand">
      <x/>
    </i>
  </rowItems>
  <colItems count="1">
    <i/>
  </colItems>
  <dataFields count="1">
    <dataField name="PAGAMENTOS" fld="9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8A5D4CBC-B293-4526-8508-847FAC3AB697}" sourceName="MÊS SERVIÇO">
  <pivotTables>
    <pivotTable tabId="5" name="Tabela dinâmica1"/>
    <pivotTable tabId="5" name="Tabela dinâmica2"/>
    <pivotTable tabId="5" name="Tabela dinâmica3"/>
  </pivotTables>
  <data>
    <tabular pivotCacheId="1009070567">
      <items count="4">
        <i x="3" s="1"/>
        <i x="1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A4E440E8-6CF5-409F-8CEB-D7E8226C1F6A}" sourceName="ANO SERVIÇO">
  <pivotTables>
    <pivotTable tabId="5" name="Tabela dinâmica1"/>
    <pivotTable tabId="5" name="Tabela dinâmica2"/>
    <pivotTable tabId="5" name="Tabela dinâmica3"/>
  </pivotTables>
  <data>
    <tabular pivotCacheId="1009070567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815BECBC-23BA-457E-AFF5-557AA9574707}" sourceName="MÊS PAGAMENTO">
  <pivotTables>
    <pivotTable tabId="5" name="Tabela dinâmica3"/>
    <pivotTable tabId="5" name="Tabela dinâmica1"/>
    <pivotTable tabId="5" name="Tabela dinâmica2"/>
  </pivotTables>
  <data>
    <tabular pivotCacheId="1009070567">
      <items count="12">
        <i x="8" s="1"/>
        <i x="9" s="1"/>
        <i x="10" s="1"/>
        <i x="11" s="1"/>
        <i x="0" s="1"/>
        <i x="1" s="1"/>
        <i x="2" s="1"/>
        <i x="3" s="1"/>
        <i x="4" s="1"/>
        <i x="5" s="1"/>
        <i x="6" s="1"/>
        <i x="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2DE52182-1FF3-42AA-9D06-58DE8919302D}" sourceName="ANO PAGAMENTO">
  <pivotTables>
    <pivotTable tabId="5" name="Tabela dinâmica3"/>
    <pivotTable tabId="5" name="Tabela dinâmica1"/>
    <pivotTable tabId="5" name="Tabela dinâmica2"/>
  </pivotTables>
  <data>
    <tabular pivotCacheId="1009070567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1DACEC26-2C9F-40AC-B1A5-F958068C5568}" cache="SegmentaçãodeDados_MÊS_SERVIÇO" caption="MÊS SERVIÇO" rowHeight="241300"/>
  <slicer name="ANO SERVIÇO" xr10:uid="{8894BE5B-97DB-4195-B3E3-38794FB6A4E4}" cache="SegmentaçãodeDados_ANO_SERVIÇO" caption="ANO SERVIÇO" rowHeight="241300"/>
  <slicer name="MÊS PAGAMENTO" xr10:uid="{4659A023-0919-4AFB-BED5-3845669AC6AD}" cache="SegmentaçãodeDados_MÊS_PAGAMENTO" caption="MÊS PAGAMENTO" rowHeight="241300"/>
  <slicer name="ANO PAGAMENTO" xr10:uid="{DDDB749F-DD14-4D6A-BC4D-4B02C54F76AA}" cache="SegmentaçãodeDados_ANO_PAGAMENTO" caption="ANO PAGAMENTO" rowHeight="2413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@" TargetMode="External"/><Relationship Id="rId13" Type="http://schemas.openxmlformats.org/officeDocument/2006/relationships/hyperlink" Target="mailto:B@" TargetMode="External"/><Relationship Id="rId18" Type="http://schemas.openxmlformats.org/officeDocument/2006/relationships/hyperlink" Target="mailto:C@" TargetMode="External"/><Relationship Id="rId3" Type="http://schemas.openxmlformats.org/officeDocument/2006/relationships/hyperlink" Target="mailto:C@" TargetMode="External"/><Relationship Id="rId21" Type="http://schemas.openxmlformats.org/officeDocument/2006/relationships/hyperlink" Target="mailto:C@" TargetMode="External"/><Relationship Id="rId7" Type="http://schemas.openxmlformats.org/officeDocument/2006/relationships/hyperlink" Target="mailto:A@" TargetMode="External"/><Relationship Id="rId12" Type="http://schemas.openxmlformats.org/officeDocument/2006/relationships/hyperlink" Target="mailto:A@" TargetMode="External"/><Relationship Id="rId17" Type="http://schemas.openxmlformats.org/officeDocument/2006/relationships/hyperlink" Target="mailto:C@" TargetMode="External"/><Relationship Id="rId2" Type="http://schemas.openxmlformats.org/officeDocument/2006/relationships/hyperlink" Target="mailto:B@" TargetMode="External"/><Relationship Id="rId16" Type="http://schemas.openxmlformats.org/officeDocument/2006/relationships/hyperlink" Target="mailto:B@" TargetMode="External"/><Relationship Id="rId20" Type="http://schemas.openxmlformats.org/officeDocument/2006/relationships/hyperlink" Target="mailto:C@" TargetMode="External"/><Relationship Id="rId1" Type="http://schemas.openxmlformats.org/officeDocument/2006/relationships/hyperlink" Target="mailto:A@" TargetMode="External"/><Relationship Id="rId6" Type="http://schemas.openxmlformats.org/officeDocument/2006/relationships/hyperlink" Target="mailto:A@" TargetMode="External"/><Relationship Id="rId11" Type="http://schemas.openxmlformats.org/officeDocument/2006/relationships/hyperlink" Target="mailto:A@" TargetMode="External"/><Relationship Id="rId5" Type="http://schemas.openxmlformats.org/officeDocument/2006/relationships/hyperlink" Target="mailto:A@" TargetMode="External"/><Relationship Id="rId15" Type="http://schemas.openxmlformats.org/officeDocument/2006/relationships/hyperlink" Target="mailto:B@" TargetMode="External"/><Relationship Id="rId10" Type="http://schemas.openxmlformats.org/officeDocument/2006/relationships/hyperlink" Target="mailto:A@" TargetMode="External"/><Relationship Id="rId19" Type="http://schemas.openxmlformats.org/officeDocument/2006/relationships/hyperlink" Target="mailto:C@" TargetMode="External"/><Relationship Id="rId4" Type="http://schemas.openxmlformats.org/officeDocument/2006/relationships/hyperlink" Target="mailto:A@" TargetMode="External"/><Relationship Id="rId9" Type="http://schemas.openxmlformats.org/officeDocument/2006/relationships/hyperlink" Target="mailto:A@" TargetMode="External"/><Relationship Id="rId14" Type="http://schemas.openxmlformats.org/officeDocument/2006/relationships/hyperlink" Target="mailto:B@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C@" TargetMode="External"/><Relationship Id="rId2" Type="http://schemas.openxmlformats.org/officeDocument/2006/relationships/hyperlink" Target="mailto:B@" TargetMode="External"/><Relationship Id="rId1" Type="http://schemas.openxmlformats.org/officeDocument/2006/relationships/hyperlink" Target="mailto:A@" TargetMode="External"/><Relationship Id="rId4" Type="http://schemas.openxmlformats.org/officeDocument/2006/relationships/hyperlink" Target="mailto:ZE@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18"/>
  <sheetViews>
    <sheetView workbookViewId="0">
      <selection activeCell="G6" sqref="G6:L6"/>
    </sheetView>
  </sheetViews>
  <sheetFormatPr defaultRowHeight="15" x14ac:dyDescent="0.25"/>
  <cols>
    <col min="1" max="1" width="13.5703125" style="4" customWidth="1"/>
    <col min="2" max="2" width="3.140625" customWidth="1"/>
    <col min="3" max="3" width="9.85546875" customWidth="1"/>
  </cols>
  <sheetData>
    <row r="1" spans="1:17" ht="54" customHeight="1" x14ac:dyDescent="0.2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17" ht="15.75" x14ac:dyDescent="0.25">
      <c r="A2" s="15"/>
      <c r="B2" s="1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17" ht="18.75" x14ac:dyDescent="0.25">
      <c r="A3" s="19" t="s">
        <v>0</v>
      </c>
      <c r="B3" s="1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</row>
    <row r="4" spans="1:17" ht="15.75" x14ac:dyDescent="0.25">
      <c r="A4" s="15"/>
      <c r="B4" s="1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</row>
    <row r="5" spans="1:17" ht="15.75" x14ac:dyDescent="0.25">
      <c r="A5" s="16" t="s">
        <v>38</v>
      </c>
      <c r="B5" s="1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1:17" ht="15.75" x14ac:dyDescent="0.25">
      <c r="A6" s="16"/>
      <c r="B6" s="1"/>
      <c r="C6" s="20"/>
      <c r="D6" s="20"/>
      <c r="E6" s="20"/>
      <c r="F6" s="21" t="s">
        <v>2</v>
      </c>
      <c r="G6" s="61"/>
      <c r="H6" s="62"/>
      <c r="I6" s="62"/>
      <c r="J6" s="62"/>
      <c r="K6" s="62"/>
      <c r="L6" s="62"/>
      <c r="M6" s="20"/>
      <c r="N6" s="20"/>
      <c r="O6" s="20"/>
      <c r="P6" s="20"/>
      <c r="Q6" s="20"/>
    </row>
    <row r="7" spans="1:17" ht="15.75" x14ac:dyDescent="0.25">
      <c r="A7" s="16" t="s">
        <v>1</v>
      </c>
      <c r="B7" s="1"/>
      <c r="C7" s="20"/>
      <c r="D7" s="20"/>
      <c r="E7" s="20"/>
      <c r="F7" s="21"/>
      <c r="G7" s="22"/>
      <c r="H7" s="22"/>
      <c r="I7" s="22"/>
      <c r="J7" s="22"/>
      <c r="K7" s="22"/>
      <c r="L7" s="22"/>
      <c r="M7" s="20"/>
      <c r="N7" s="20"/>
      <c r="O7" s="20"/>
      <c r="P7" s="20"/>
      <c r="Q7" s="20"/>
    </row>
    <row r="8" spans="1:17" x14ac:dyDescent="0.25">
      <c r="A8" s="17"/>
      <c r="B8" s="1"/>
      <c r="C8" s="20"/>
      <c r="D8" s="20"/>
      <c r="E8" s="20"/>
      <c r="F8" s="21" t="s">
        <v>3</v>
      </c>
      <c r="G8" s="61"/>
      <c r="H8" s="62"/>
      <c r="I8" s="62"/>
      <c r="J8" s="62"/>
      <c r="K8" s="62"/>
      <c r="L8" s="62"/>
      <c r="M8" s="20"/>
      <c r="N8" s="20"/>
      <c r="O8" s="20"/>
      <c r="P8" s="20"/>
      <c r="Q8" s="20"/>
    </row>
    <row r="9" spans="1:17" ht="15.75" x14ac:dyDescent="0.25">
      <c r="A9" s="16" t="s">
        <v>29</v>
      </c>
      <c r="B9" s="1"/>
      <c r="C9" s="20"/>
      <c r="D9" s="20"/>
      <c r="E9" s="20"/>
      <c r="F9" s="21"/>
      <c r="G9" s="22"/>
      <c r="H9" s="22"/>
      <c r="I9" s="22"/>
      <c r="J9" s="22"/>
      <c r="K9" s="22"/>
      <c r="L9" s="22"/>
      <c r="M9" s="20"/>
      <c r="N9" s="20"/>
      <c r="O9" s="20"/>
      <c r="P9" s="20"/>
      <c r="Q9" s="20"/>
    </row>
    <row r="10" spans="1:17" x14ac:dyDescent="0.25">
      <c r="A10" s="17"/>
      <c r="B10" s="1"/>
      <c r="C10" s="20"/>
      <c r="D10" s="20"/>
      <c r="E10" s="20"/>
      <c r="F10" s="21" t="s">
        <v>4</v>
      </c>
      <c r="G10" s="61"/>
      <c r="H10" s="62"/>
      <c r="I10" s="62"/>
      <c r="J10" s="62"/>
      <c r="K10" s="62"/>
      <c r="L10" s="62"/>
      <c r="M10" s="20"/>
      <c r="N10" s="20"/>
      <c r="O10" s="20"/>
      <c r="P10" s="20"/>
      <c r="Q10" s="20"/>
    </row>
    <row r="11" spans="1:17" ht="15.75" x14ac:dyDescent="0.25">
      <c r="A11" s="16" t="s">
        <v>55</v>
      </c>
      <c r="B11" s="1"/>
      <c r="C11" s="20"/>
      <c r="D11" s="20"/>
      <c r="E11" s="20"/>
      <c r="F11" s="21"/>
      <c r="G11" s="22"/>
      <c r="H11" s="22"/>
      <c r="I11" s="22"/>
      <c r="J11" s="22"/>
      <c r="K11" s="22"/>
      <c r="L11" s="22"/>
      <c r="M11" s="20"/>
      <c r="N11" s="20"/>
      <c r="O11" s="20"/>
      <c r="P11" s="20"/>
      <c r="Q11" s="20"/>
    </row>
    <row r="12" spans="1:17" x14ac:dyDescent="0.25">
      <c r="A12" s="17"/>
      <c r="B12" s="1"/>
      <c r="C12" s="20"/>
      <c r="D12" s="20"/>
      <c r="E12" s="20"/>
      <c r="F12" s="21" t="s">
        <v>5</v>
      </c>
      <c r="G12" s="61"/>
      <c r="H12" s="62"/>
      <c r="I12" s="62"/>
      <c r="J12" s="62"/>
      <c r="K12" s="62"/>
      <c r="L12" s="62"/>
      <c r="M12" s="20"/>
      <c r="N12" s="20"/>
      <c r="O12" s="20"/>
      <c r="P12" s="20"/>
      <c r="Q12" s="20"/>
    </row>
    <row r="13" spans="1:17" x14ac:dyDescent="0.25">
      <c r="A13" s="13"/>
      <c r="B13" s="1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</row>
    <row r="14" spans="1:17" x14ac:dyDescent="0.25">
      <c r="A14" s="13"/>
      <c r="B14" s="1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</row>
    <row r="15" spans="1:17" x14ac:dyDescent="0.25">
      <c r="A15" s="13"/>
      <c r="B15" s="1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</row>
    <row r="16" spans="1:17" x14ac:dyDescent="0.25">
      <c r="A16" s="13"/>
      <c r="B16" s="1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</row>
    <row r="17" spans="1:17" x14ac:dyDescent="0.25">
      <c r="A17" s="13"/>
      <c r="B17" s="1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</row>
    <row r="18" spans="1:17" x14ac:dyDescent="0.25">
      <c r="A18" s="13"/>
      <c r="B18" s="1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</row>
  </sheetData>
  <mergeCells count="4">
    <mergeCell ref="G6:L6"/>
    <mergeCell ref="G8:L8"/>
    <mergeCell ref="G10:L10"/>
    <mergeCell ref="G12:L12"/>
  </mergeCells>
  <hyperlinks>
    <hyperlink ref="A3" location="CADASTRO!A1" display="Cadastro" xr:uid="{ADEF7A3F-8E08-4485-91B5-833B8ACA79E7}"/>
    <hyperlink ref="A9" location="SERVIÇOS!A1" display="Serviços" xr:uid="{2E2A5F59-E715-48A4-819C-E6190054875D}"/>
    <hyperlink ref="A5" location="RESUMOS!A1" display="RESUMOS" xr:uid="{0CECD2C8-2146-4C67-A8C3-34B0E706084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dimension ref="A1:Q30"/>
  <sheetViews>
    <sheetView workbookViewId="0">
      <selection activeCell="A5" sqref="A5"/>
    </sheetView>
  </sheetViews>
  <sheetFormatPr defaultColWidth="8.7109375" defaultRowHeight="15" x14ac:dyDescent="0.25"/>
  <cols>
    <col min="1" max="1" width="12" style="4" customWidth="1"/>
    <col min="2" max="2" width="2.28515625" style="4" customWidth="1"/>
    <col min="3" max="3" width="9.85546875" style="4" customWidth="1"/>
    <col min="4" max="4" width="10.85546875" style="4" bestFit="1" customWidth="1"/>
    <col min="5" max="7" width="8.7109375" style="4"/>
    <col min="8" max="8" width="15.42578125" style="4" customWidth="1"/>
    <col min="9" max="9" width="21.28515625" style="4" customWidth="1"/>
    <col min="10" max="10" width="3.28515625" style="4" customWidth="1"/>
    <col min="11" max="11" width="10.42578125" style="4" customWidth="1"/>
    <col min="12" max="12" width="13" style="4" customWidth="1"/>
    <col min="13" max="13" width="3.28515625" style="4" customWidth="1"/>
    <col min="14" max="14" width="10.42578125" style="4" customWidth="1"/>
    <col min="15" max="15" width="13" style="4" customWidth="1"/>
    <col min="16" max="16" width="10.140625" style="4" bestFit="1" customWidth="1"/>
    <col min="17" max="16384" width="8.7109375" style="4"/>
  </cols>
  <sheetData>
    <row r="1" spans="1:17" ht="64.5" customHeight="1" thickBot="1" x14ac:dyDescent="0.3">
      <c r="A1" s="14" t="s">
        <v>15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ht="20.100000000000001" customHeight="1" thickBot="1" x14ac:dyDescent="0.3">
      <c r="A2" s="15"/>
      <c r="B2" s="2"/>
      <c r="C2" s="2"/>
      <c r="D2" s="2"/>
      <c r="E2" s="2"/>
      <c r="F2" s="63" t="s">
        <v>25</v>
      </c>
      <c r="G2" s="64"/>
      <c r="H2" s="64"/>
      <c r="I2" s="64"/>
      <c r="J2" s="64"/>
      <c r="K2" s="64"/>
      <c r="L2" s="64"/>
      <c r="M2" s="64"/>
      <c r="N2" s="65"/>
      <c r="O2" s="2"/>
      <c r="P2" s="2"/>
      <c r="Q2" s="2"/>
    </row>
    <row r="3" spans="1:17" ht="20.100000000000001" customHeight="1" thickBot="1" x14ac:dyDescent="0.3">
      <c r="A3" s="16" t="s">
        <v>0</v>
      </c>
      <c r="B3" s="2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2"/>
    </row>
    <row r="4" spans="1:17" ht="20.100000000000001" customHeight="1" thickBot="1" x14ac:dyDescent="0.3">
      <c r="A4" s="16"/>
      <c r="B4" s="2"/>
      <c r="C4" s="6" t="s">
        <v>6</v>
      </c>
      <c r="D4" s="66" t="s">
        <v>62</v>
      </c>
      <c r="E4" s="67"/>
      <c r="F4" s="5" t="s">
        <v>24</v>
      </c>
      <c r="G4" s="5"/>
      <c r="H4" s="5"/>
      <c r="I4" s="5"/>
      <c r="J4" s="5"/>
      <c r="K4" s="5"/>
      <c r="L4" s="5"/>
      <c r="M4" s="5"/>
      <c r="N4" s="5"/>
      <c r="O4" s="5"/>
      <c r="P4" s="5"/>
      <c r="Q4" s="2"/>
    </row>
    <row r="5" spans="1:17" ht="20.100000000000001" customHeight="1" thickBot="1" x14ac:dyDescent="0.3">
      <c r="A5" s="16" t="s">
        <v>38</v>
      </c>
      <c r="B5" s="2"/>
      <c r="C5" s="5"/>
      <c r="D5" s="5"/>
      <c r="E5" s="5"/>
      <c r="F5" s="5"/>
      <c r="G5" s="5"/>
      <c r="H5" s="5"/>
      <c r="I5" s="7"/>
      <c r="J5" s="5"/>
      <c r="K5" s="5"/>
      <c r="L5" s="5"/>
      <c r="M5" s="5"/>
      <c r="N5" s="5"/>
      <c r="O5" s="5"/>
      <c r="P5" s="5"/>
      <c r="Q5" s="2"/>
    </row>
    <row r="6" spans="1:17" ht="20.100000000000001" customHeight="1" thickTop="1" thickBot="1" x14ac:dyDescent="0.3">
      <c r="A6" s="16"/>
      <c r="B6" s="2"/>
      <c r="C6" s="6" t="s">
        <v>2</v>
      </c>
      <c r="D6" s="8" t="str">
        <f>IFERROR(VLOOKUP("*"&amp;D4&amp;"*",'DADOS CLIENTES'!A:D,1,0),"ERRO")</f>
        <v>ZE DO POVO</v>
      </c>
      <c r="E6" s="9"/>
      <c r="F6" s="10"/>
      <c r="G6" s="5"/>
      <c r="H6" s="11" t="s">
        <v>9</v>
      </c>
      <c r="I6" s="45" t="s">
        <v>63</v>
      </c>
      <c r="J6" s="68" t="s">
        <v>12</v>
      </c>
      <c r="K6" s="69"/>
      <c r="L6" s="69"/>
      <c r="M6" s="69"/>
      <c r="N6" s="69"/>
      <c r="O6" s="70"/>
      <c r="P6" s="5"/>
      <c r="Q6" s="2"/>
    </row>
    <row r="7" spans="1:17" ht="20.100000000000001" customHeight="1" thickBot="1" x14ac:dyDescent="0.3">
      <c r="A7" s="16" t="s">
        <v>1</v>
      </c>
      <c r="B7" s="2"/>
      <c r="C7" s="6"/>
      <c r="D7" s="5"/>
      <c r="E7" s="5"/>
      <c r="F7" s="5"/>
      <c r="G7" s="5"/>
      <c r="H7" s="11" t="s">
        <v>30</v>
      </c>
      <c r="I7" s="42">
        <v>45070</v>
      </c>
      <c r="J7" s="27">
        <v>1</v>
      </c>
      <c r="K7" s="38">
        <f>IF(L7&lt;&gt;"",$I$10,"")</f>
        <v>45076</v>
      </c>
      <c r="L7" s="32">
        <f t="shared" ref="L7:L12" si="0">IF($I$9&gt;=J7,$I$12,"")</f>
        <v>570</v>
      </c>
      <c r="M7" s="28">
        <v>7</v>
      </c>
      <c r="N7" s="38">
        <f>IF(O7&lt;&gt;"",EDATE(K12,1),"")</f>
        <v>45260</v>
      </c>
      <c r="O7" s="35">
        <f t="shared" ref="O7:O12" si="1">IF($I$9&gt;=M7,$I$12,"")</f>
        <v>570</v>
      </c>
      <c r="P7" s="5"/>
      <c r="Q7" s="2"/>
    </row>
    <row r="8" spans="1:17" ht="20.100000000000001" customHeight="1" thickBot="1" x14ac:dyDescent="0.3">
      <c r="A8" s="13"/>
      <c r="B8" s="2"/>
      <c r="C8" s="6" t="s">
        <v>3</v>
      </c>
      <c r="D8" s="8">
        <f>IFERROR(VLOOKUP("*"&amp;D4&amp;"*",'DADOS CLIENTES'!A:D,2,0),"ERRO")</f>
        <v>33311122200</v>
      </c>
      <c r="E8" s="9"/>
      <c r="F8" s="10"/>
      <c r="G8" s="5"/>
      <c r="H8" s="11" t="s">
        <v>10</v>
      </c>
      <c r="I8" s="43">
        <v>4560</v>
      </c>
      <c r="J8" s="29">
        <v>2</v>
      </c>
      <c r="K8" s="39">
        <f>IF(L8&lt;&gt;"",EDATE(K7,1),"")</f>
        <v>45107</v>
      </c>
      <c r="L8" s="33">
        <f t="shared" si="0"/>
        <v>570</v>
      </c>
      <c r="M8" s="26">
        <v>8</v>
      </c>
      <c r="N8" s="39">
        <f>IF(O8&lt;&gt;"",EDATE(N7,1),"")</f>
        <v>45290</v>
      </c>
      <c r="O8" s="36">
        <f t="shared" si="1"/>
        <v>570</v>
      </c>
      <c r="P8" s="5"/>
      <c r="Q8" s="2"/>
    </row>
    <row r="9" spans="1:17" ht="20.100000000000001" customHeight="1" thickBot="1" x14ac:dyDescent="0.3">
      <c r="A9" s="19" t="s">
        <v>29</v>
      </c>
      <c r="B9" s="2"/>
      <c r="C9" s="6"/>
      <c r="D9" s="5"/>
      <c r="E9" s="5"/>
      <c r="F9" s="5"/>
      <c r="G9" s="5"/>
      <c r="H9" s="11" t="s">
        <v>32</v>
      </c>
      <c r="I9" s="12">
        <v>8</v>
      </c>
      <c r="J9" s="29">
        <v>3</v>
      </c>
      <c r="K9" s="39">
        <f t="shared" ref="K9:K12" si="2">IF(L9&lt;&gt;"",EDATE(K8,1),"")</f>
        <v>45137</v>
      </c>
      <c r="L9" s="33">
        <f t="shared" si="0"/>
        <v>570</v>
      </c>
      <c r="M9" s="26">
        <v>9</v>
      </c>
      <c r="N9" s="39" t="str">
        <f t="shared" ref="N9:N12" si="3">IF(O9&lt;&gt;"",EDATE(N8,1),"")</f>
        <v/>
      </c>
      <c r="O9" s="36" t="str">
        <f t="shared" si="1"/>
        <v/>
      </c>
      <c r="P9" s="5"/>
      <c r="Q9" s="2"/>
    </row>
    <row r="10" spans="1:17" ht="20.100000000000001" customHeight="1" thickBot="1" x14ac:dyDescent="0.3">
      <c r="A10" s="13"/>
      <c r="B10" s="2"/>
      <c r="C10" s="6" t="s">
        <v>4</v>
      </c>
      <c r="D10" s="8">
        <f>IFERROR(VLOOKUP("*"&amp;D4&amp;"*",'DADOS CLIENTES'!A:D,3,0),"ERRO")</f>
        <v>1122334445</v>
      </c>
      <c r="E10" s="9"/>
      <c r="F10" s="10"/>
      <c r="G10" s="5"/>
      <c r="H10" s="11" t="s">
        <v>31</v>
      </c>
      <c r="I10" s="44">
        <v>45076</v>
      </c>
      <c r="J10" s="29">
        <v>4</v>
      </c>
      <c r="K10" s="39">
        <f t="shared" si="2"/>
        <v>45168</v>
      </c>
      <c r="L10" s="33">
        <f t="shared" si="0"/>
        <v>570</v>
      </c>
      <c r="M10" s="26">
        <v>10</v>
      </c>
      <c r="N10" s="39" t="str">
        <f t="shared" si="3"/>
        <v/>
      </c>
      <c r="O10" s="36" t="str">
        <f t="shared" si="1"/>
        <v/>
      </c>
      <c r="P10" s="5"/>
      <c r="Q10" s="2"/>
    </row>
    <row r="11" spans="1:17" ht="20.100000000000001" customHeight="1" thickBot="1" x14ac:dyDescent="0.3">
      <c r="A11" s="16" t="s">
        <v>55</v>
      </c>
      <c r="B11" s="2"/>
      <c r="C11" s="6"/>
      <c r="D11" s="5"/>
      <c r="E11" s="5"/>
      <c r="F11" s="5"/>
      <c r="G11" s="11"/>
      <c r="H11" s="11"/>
      <c r="I11" s="11"/>
      <c r="J11" s="29">
        <v>5</v>
      </c>
      <c r="K11" s="39">
        <f t="shared" si="2"/>
        <v>45199</v>
      </c>
      <c r="L11" s="33">
        <f t="shared" si="0"/>
        <v>570</v>
      </c>
      <c r="M11" s="26">
        <v>11</v>
      </c>
      <c r="N11" s="39" t="str">
        <f t="shared" si="3"/>
        <v/>
      </c>
      <c r="O11" s="36" t="str">
        <f t="shared" si="1"/>
        <v/>
      </c>
      <c r="P11" s="5"/>
      <c r="Q11" s="2"/>
    </row>
    <row r="12" spans="1:17" ht="20.100000000000001" customHeight="1" thickBot="1" x14ac:dyDescent="0.3">
      <c r="A12" s="13"/>
      <c r="B12" s="2"/>
      <c r="C12" s="6" t="s">
        <v>5</v>
      </c>
      <c r="D12" s="8" t="str">
        <f>IFERROR(VLOOKUP("*"&amp;D4&amp;"*",'DADOS CLIENTES'!A:D,4,0),"ERRO")</f>
        <v>ZE@</v>
      </c>
      <c r="E12" s="9"/>
      <c r="F12" s="10"/>
      <c r="G12" s="5"/>
      <c r="H12" s="11" t="s">
        <v>14</v>
      </c>
      <c r="I12" s="41">
        <f>I8/I9</f>
        <v>570</v>
      </c>
      <c r="J12" s="30">
        <v>6</v>
      </c>
      <c r="K12" s="40">
        <f t="shared" si="2"/>
        <v>45229</v>
      </c>
      <c r="L12" s="34">
        <f t="shared" si="0"/>
        <v>570</v>
      </c>
      <c r="M12" s="31">
        <v>12</v>
      </c>
      <c r="N12" s="40" t="str">
        <f t="shared" si="3"/>
        <v/>
      </c>
      <c r="O12" s="37" t="str">
        <f t="shared" si="1"/>
        <v/>
      </c>
      <c r="P12" s="5"/>
      <c r="Q12" s="2"/>
    </row>
    <row r="13" spans="1:17" ht="15.75" thickBot="1" x14ac:dyDescent="0.3">
      <c r="A13" s="3"/>
      <c r="B13" s="2"/>
      <c r="C13" s="5"/>
      <c r="D13" s="5"/>
      <c r="E13" s="5"/>
      <c r="F13" s="5"/>
      <c r="G13" s="5"/>
      <c r="H13" s="11"/>
      <c r="I13" s="5"/>
      <c r="J13" s="5"/>
      <c r="K13" s="5"/>
      <c r="L13" s="5"/>
      <c r="M13" s="5"/>
      <c r="N13" s="5"/>
      <c r="O13" s="5"/>
      <c r="P13" s="5"/>
      <c r="Q13" s="2"/>
    </row>
    <row r="14" spans="1:17" ht="15.75" thickBot="1" x14ac:dyDescent="0.3">
      <c r="A14" s="3"/>
      <c r="B14" s="2"/>
      <c r="C14" s="6" t="s">
        <v>26</v>
      </c>
      <c r="D14" s="25">
        <f>IFERROR(VLOOKUP("*"&amp;D4&amp;"*",'DADOS CLIENTES'!A:Z,5,0),"ERRO")</f>
        <v>37021</v>
      </c>
      <c r="E14" s="9"/>
      <c r="F14" s="10"/>
      <c r="G14" s="5"/>
      <c r="H14" s="11"/>
      <c r="I14" s="5"/>
      <c r="J14" s="5"/>
      <c r="K14" s="5"/>
      <c r="L14" s="5"/>
      <c r="M14" s="5"/>
      <c r="N14" s="5"/>
      <c r="O14" s="5"/>
      <c r="P14" s="5"/>
      <c r="Q14" s="2"/>
    </row>
    <row r="15" spans="1:17" x14ac:dyDescent="0.25">
      <c r="A15" s="3"/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2"/>
    </row>
    <row r="16" spans="1:17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</sheetData>
  <mergeCells count="3">
    <mergeCell ref="F2:N2"/>
    <mergeCell ref="D4:E4"/>
    <mergeCell ref="J6:O6"/>
  </mergeCells>
  <hyperlinks>
    <hyperlink ref="A3" location="CADASTRO!A1" display="Cadastro" xr:uid="{4EAE8F30-B85A-403B-BED1-4C6D46E99C51}"/>
    <hyperlink ref="A9" location="VENDAS!A1" display="Vendas" xr:uid="{A68A5043-9247-4F6D-BA9E-05AE13015933}"/>
    <hyperlink ref="A5" location="RESUMOS!A1" display="RESUMOS" xr:uid="{0271D83D-5DDE-4EC4-8068-CD03B0594AC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dimension ref="A1:N53"/>
  <sheetViews>
    <sheetView topLeftCell="A4" workbookViewId="0">
      <selection activeCell="I2" sqref="I2:I11"/>
    </sheetView>
  </sheetViews>
  <sheetFormatPr defaultRowHeight="15" x14ac:dyDescent="0.25"/>
  <cols>
    <col min="1" max="1" width="13.140625" customWidth="1"/>
    <col min="2" max="2" width="10.5703125" customWidth="1"/>
    <col min="3" max="3" width="12.7109375" bestFit="1" customWidth="1"/>
    <col min="4" max="4" width="8.42578125" customWidth="1"/>
    <col min="5" max="5" width="9.140625" customWidth="1"/>
    <col min="6" max="6" width="13.5703125" customWidth="1"/>
    <col min="7" max="7" width="18.140625" bestFit="1" customWidth="1"/>
    <col min="8" max="8" width="15.140625" bestFit="1" customWidth="1"/>
    <col min="9" max="9" width="9.85546875" customWidth="1"/>
    <col min="10" max="10" width="15.42578125" bestFit="1" customWidth="1"/>
    <col min="11" max="11" width="12.7109375" bestFit="1" customWidth="1"/>
    <col min="12" max="12" width="13.28515625" bestFit="1" customWidth="1"/>
    <col min="13" max="13" width="16.85546875" bestFit="1" customWidth="1"/>
    <col min="14" max="14" width="17.42578125" bestFit="1" customWidth="1"/>
  </cols>
  <sheetData>
    <row r="1" spans="1:14" ht="15.75" thickBot="1" x14ac:dyDescent="0.3">
      <c r="A1" s="47" t="s">
        <v>7</v>
      </c>
      <c r="B1" s="48" t="s">
        <v>3</v>
      </c>
      <c r="C1" s="48" t="s">
        <v>8</v>
      </c>
      <c r="D1" s="48" t="s">
        <v>5</v>
      </c>
      <c r="E1" s="48" t="s">
        <v>9</v>
      </c>
      <c r="F1" s="48" t="s">
        <v>16</v>
      </c>
      <c r="G1" s="48" t="s">
        <v>17</v>
      </c>
      <c r="H1" s="48" t="s">
        <v>57</v>
      </c>
      <c r="I1" s="48" t="s">
        <v>11</v>
      </c>
      <c r="J1" s="48" t="s">
        <v>13</v>
      </c>
      <c r="K1" s="48" t="s">
        <v>34</v>
      </c>
      <c r="L1" s="48" t="s">
        <v>35</v>
      </c>
      <c r="M1" s="48" t="s">
        <v>36</v>
      </c>
      <c r="N1" s="49" t="s">
        <v>37</v>
      </c>
    </row>
    <row r="2" spans="1:14" x14ac:dyDescent="0.25">
      <c r="A2" s="58" t="s">
        <v>59</v>
      </c>
      <c r="B2" s="58">
        <v>33311122200</v>
      </c>
      <c r="C2" s="58">
        <v>1122334445</v>
      </c>
      <c r="D2" s="58" t="s">
        <v>60</v>
      </c>
      <c r="E2" s="58" t="s">
        <v>63</v>
      </c>
      <c r="F2" s="59">
        <v>45070</v>
      </c>
      <c r="G2" s="59">
        <v>45076</v>
      </c>
      <c r="H2" s="58">
        <v>4560</v>
      </c>
      <c r="I2" s="58">
        <v>1</v>
      </c>
      <c r="J2" s="60">
        <v>570</v>
      </c>
      <c r="K2" s="58" t="str">
        <f>TEXT(F2,"MMMM")</f>
        <v>maio</v>
      </c>
      <c r="L2" s="58" t="str">
        <f>TEXT(F2,"AAAA")</f>
        <v>2023</v>
      </c>
      <c r="M2" s="58" t="str">
        <f>TEXT(G2,"MMMM")</f>
        <v>maio</v>
      </c>
      <c r="N2" s="58" t="str">
        <f>TEXT(G2,"AAAA")</f>
        <v>2023</v>
      </c>
    </row>
    <row r="3" spans="1:14" x14ac:dyDescent="0.25">
      <c r="A3" s="58" t="s">
        <v>59</v>
      </c>
      <c r="B3" s="58">
        <v>33311122200</v>
      </c>
      <c r="C3" s="58">
        <v>1122334445</v>
      </c>
      <c r="D3" s="58" t="s">
        <v>60</v>
      </c>
      <c r="E3" s="58" t="s">
        <v>63</v>
      </c>
      <c r="F3" s="59">
        <v>45070</v>
      </c>
      <c r="G3" s="59">
        <v>45107</v>
      </c>
      <c r="H3" s="58"/>
      <c r="I3" s="58">
        <v>2</v>
      </c>
      <c r="J3" s="60">
        <v>570</v>
      </c>
      <c r="K3" s="58" t="str">
        <f t="shared" ref="K3:K11" si="0">TEXT(F3,"MMMM")</f>
        <v>maio</v>
      </c>
      <c r="L3" s="58" t="str">
        <f t="shared" ref="L3:L11" si="1">TEXT(F3,"AAAA")</f>
        <v>2023</v>
      </c>
      <c r="M3" s="58" t="str">
        <f t="shared" ref="M3:M11" si="2">TEXT(G3,"MMMM")</f>
        <v>junho</v>
      </c>
      <c r="N3" s="58" t="str">
        <f t="shared" ref="N3:N11" si="3">TEXT(G3,"AAAA")</f>
        <v>2023</v>
      </c>
    </row>
    <row r="4" spans="1:14" x14ac:dyDescent="0.25">
      <c r="A4" s="58" t="s">
        <v>59</v>
      </c>
      <c r="B4" s="58">
        <v>33311122200</v>
      </c>
      <c r="C4" s="58">
        <v>1122334445</v>
      </c>
      <c r="D4" s="58" t="s">
        <v>60</v>
      </c>
      <c r="E4" s="58" t="s">
        <v>63</v>
      </c>
      <c r="F4" s="59">
        <v>45070</v>
      </c>
      <c r="G4" s="59">
        <v>45137</v>
      </c>
      <c r="H4" s="58"/>
      <c r="I4" s="58">
        <v>3</v>
      </c>
      <c r="J4" s="60">
        <v>570</v>
      </c>
      <c r="K4" s="58" t="str">
        <f t="shared" si="0"/>
        <v>maio</v>
      </c>
      <c r="L4" s="58" t="str">
        <f t="shared" si="1"/>
        <v>2023</v>
      </c>
      <c r="M4" s="58" t="str">
        <f t="shared" si="2"/>
        <v>julho</v>
      </c>
      <c r="N4" s="58" t="str">
        <f t="shared" si="3"/>
        <v>2023</v>
      </c>
    </row>
    <row r="5" spans="1:14" x14ac:dyDescent="0.25">
      <c r="A5" s="58" t="s">
        <v>59</v>
      </c>
      <c r="B5" s="58">
        <v>33311122200</v>
      </c>
      <c r="C5" s="58">
        <v>1122334445</v>
      </c>
      <c r="D5" s="58" t="s">
        <v>60</v>
      </c>
      <c r="E5" s="58" t="s">
        <v>63</v>
      </c>
      <c r="F5" s="59">
        <v>45070</v>
      </c>
      <c r="G5" s="59">
        <v>45168</v>
      </c>
      <c r="H5" s="58"/>
      <c r="I5" s="58">
        <v>4</v>
      </c>
      <c r="J5" s="60">
        <v>570</v>
      </c>
      <c r="K5" s="58" t="str">
        <f t="shared" si="0"/>
        <v>maio</v>
      </c>
      <c r="L5" s="58" t="str">
        <f t="shared" si="1"/>
        <v>2023</v>
      </c>
      <c r="M5" s="58" t="str">
        <f t="shared" si="2"/>
        <v>agosto</v>
      </c>
      <c r="N5" s="58" t="str">
        <f t="shared" si="3"/>
        <v>2023</v>
      </c>
    </row>
    <row r="6" spans="1:14" x14ac:dyDescent="0.25">
      <c r="A6" s="58" t="s">
        <v>59</v>
      </c>
      <c r="B6" s="58">
        <v>33311122200</v>
      </c>
      <c r="C6" s="58">
        <v>1122334445</v>
      </c>
      <c r="D6" s="58" t="s">
        <v>60</v>
      </c>
      <c r="E6" s="58" t="s">
        <v>63</v>
      </c>
      <c r="F6" s="59">
        <v>45070</v>
      </c>
      <c r="G6" s="59">
        <v>45199</v>
      </c>
      <c r="H6" s="58"/>
      <c r="I6" s="58">
        <v>5</v>
      </c>
      <c r="J6" s="60">
        <v>570</v>
      </c>
      <c r="K6" s="58" t="str">
        <f t="shared" si="0"/>
        <v>maio</v>
      </c>
      <c r="L6" s="58" t="str">
        <f t="shared" si="1"/>
        <v>2023</v>
      </c>
      <c r="M6" s="58" t="str">
        <f t="shared" si="2"/>
        <v>setembro</v>
      </c>
      <c r="N6" s="58" t="str">
        <f t="shared" si="3"/>
        <v>2023</v>
      </c>
    </row>
    <row r="7" spans="1:14" x14ac:dyDescent="0.25">
      <c r="A7" s="58" t="s">
        <v>59</v>
      </c>
      <c r="B7" s="58">
        <v>33311122200</v>
      </c>
      <c r="C7" s="58">
        <v>1122334445</v>
      </c>
      <c r="D7" s="58" t="s">
        <v>60</v>
      </c>
      <c r="E7" s="58" t="s">
        <v>63</v>
      </c>
      <c r="F7" s="59">
        <v>45070</v>
      </c>
      <c r="G7" s="59">
        <v>45229</v>
      </c>
      <c r="H7" s="58"/>
      <c r="I7" s="58">
        <v>6</v>
      </c>
      <c r="J7" s="60">
        <v>570</v>
      </c>
      <c r="K7" s="58" t="str">
        <f t="shared" si="0"/>
        <v>maio</v>
      </c>
      <c r="L7" s="58" t="str">
        <f t="shared" si="1"/>
        <v>2023</v>
      </c>
      <c r="M7" s="58" t="str">
        <f t="shared" si="2"/>
        <v>outubro</v>
      </c>
      <c r="N7" s="58" t="str">
        <f t="shared" si="3"/>
        <v>2023</v>
      </c>
    </row>
    <row r="8" spans="1:14" x14ac:dyDescent="0.25">
      <c r="A8" s="58" t="s">
        <v>59</v>
      </c>
      <c r="B8" s="58">
        <v>33311122200</v>
      </c>
      <c r="C8" s="58">
        <v>1122334445</v>
      </c>
      <c r="D8" s="58" t="s">
        <v>60</v>
      </c>
      <c r="E8" s="58" t="s">
        <v>63</v>
      </c>
      <c r="F8" s="59">
        <v>45070</v>
      </c>
      <c r="G8" s="59">
        <v>45260</v>
      </c>
      <c r="H8" s="58"/>
      <c r="I8" s="58">
        <v>7</v>
      </c>
      <c r="J8" s="60">
        <v>570</v>
      </c>
      <c r="K8" s="58" t="str">
        <f t="shared" si="0"/>
        <v>maio</v>
      </c>
      <c r="L8" s="58" t="str">
        <f t="shared" si="1"/>
        <v>2023</v>
      </c>
      <c r="M8" s="58" t="str">
        <f t="shared" si="2"/>
        <v>novembro</v>
      </c>
      <c r="N8" s="58" t="str">
        <f t="shared" si="3"/>
        <v>2023</v>
      </c>
    </row>
    <row r="9" spans="1:14" x14ac:dyDescent="0.25">
      <c r="A9" s="58" t="s">
        <v>59</v>
      </c>
      <c r="B9" s="58">
        <v>33311122200</v>
      </c>
      <c r="C9" s="58">
        <v>1122334445</v>
      </c>
      <c r="D9" s="58" t="s">
        <v>60</v>
      </c>
      <c r="E9" s="58" t="s">
        <v>63</v>
      </c>
      <c r="F9" s="59">
        <v>45070</v>
      </c>
      <c r="G9" s="59">
        <v>45290</v>
      </c>
      <c r="H9" s="58"/>
      <c r="I9" s="58">
        <v>8</v>
      </c>
      <c r="J9" s="60">
        <v>570</v>
      </c>
      <c r="K9" s="58" t="str">
        <f t="shared" si="0"/>
        <v>maio</v>
      </c>
      <c r="L9" s="58" t="str">
        <f t="shared" si="1"/>
        <v>2023</v>
      </c>
      <c r="M9" s="58" t="str">
        <f t="shared" si="2"/>
        <v>dezembro</v>
      </c>
      <c r="N9" s="58" t="str">
        <f t="shared" si="3"/>
        <v>2023</v>
      </c>
    </row>
    <row r="10" spans="1:14" x14ac:dyDescent="0.25">
      <c r="A10" s="58" t="s">
        <v>59</v>
      </c>
      <c r="B10" s="58">
        <v>33311122200</v>
      </c>
      <c r="C10" s="58">
        <v>1122334445</v>
      </c>
      <c r="D10" s="58" t="s">
        <v>60</v>
      </c>
      <c r="E10" s="58" t="s">
        <v>63</v>
      </c>
      <c r="F10" s="59">
        <v>45070</v>
      </c>
      <c r="G10" s="59">
        <v>45321</v>
      </c>
      <c r="H10" s="58"/>
      <c r="I10" s="58">
        <v>9</v>
      </c>
      <c r="J10" s="60">
        <v>570</v>
      </c>
      <c r="K10" s="58" t="str">
        <f t="shared" si="0"/>
        <v>maio</v>
      </c>
      <c r="L10" s="58" t="str">
        <f t="shared" si="1"/>
        <v>2023</v>
      </c>
      <c r="M10" s="58" t="str">
        <f t="shared" si="2"/>
        <v>janeiro</v>
      </c>
      <c r="N10" s="58" t="str">
        <f t="shared" si="3"/>
        <v>2024</v>
      </c>
    </row>
    <row r="11" spans="1:14" x14ac:dyDescent="0.25">
      <c r="A11" s="58" t="s">
        <v>59</v>
      </c>
      <c r="B11" s="58">
        <v>33311122200</v>
      </c>
      <c r="C11" s="58">
        <v>1122334445</v>
      </c>
      <c r="D11" s="58" t="s">
        <v>60</v>
      </c>
      <c r="E11" s="58" t="s">
        <v>63</v>
      </c>
      <c r="F11" s="59">
        <v>45070</v>
      </c>
      <c r="G11" s="59">
        <v>45351</v>
      </c>
      <c r="H11" s="58"/>
      <c r="I11" s="58">
        <v>10</v>
      </c>
      <c r="J11" s="60">
        <v>570</v>
      </c>
      <c r="K11" s="58" t="str">
        <f t="shared" si="0"/>
        <v>maio</v>
      </c>
      <c r="L11" s="58" t="str">
        <f t="shared" si="1"/>
        <v>2023</v>
      </c>
      <c r="M11" s="58" t="str">
        <f t="shared" si="2"/>
        <v>fevereiro</v>
      </c>
      <c r="N11" s="58" t="str">
        <f t="shared" si="3"/>
        <v>2024</v>
      </c>
    </row>
    <row r="12" spans="1:14" x14ac:dyDescent="0.25">
      <c r="A12" s="58" t="s">
        <v>59</v>
      </c>
      <c r="B12" s="58">
        <v>33311122200</v>
      </c>
      <c r="C12" s="58">
        <v>1122334445</v>
      </c>
      <c r="D12" s="58" t="s">
        <v>60</v>
      </c>
      <c r="E12" s="58" t="s">
        <v>63</v>
      </c>
      <c r="F12" s="59">
        <v>45070</v>
      </c>
      <c r="G12" s="59">
        <v>45076</v>
      </c>
      <c r="H12" s="58">
        <v>150</v>
      </c>
      <c r="I12" s="58">
        <v>1</v>
      </c>
      <c r="J12" s="60">
        <v>18.75</v>
      </c>
      <c r="K12" s="58" t="str">
        <f>TEXT(F12,"MMMM")</f>
        <v>maio</v>
      </c>
      <c r="L12" s="58" t="str">
        <f>TEXT(F12,"AAAA")</f>
        <v>2023</v>
      </c>
      <c r="M12" s="58" t="str">
        <f>TEXT(G12,"MMMM")</f>
        <v>maio</v>
      </c>
      <c r="N12" s="58" t="str">
        <f>TEXT(G12,"AAAA")</f>
        <v>2023</v>
      </c>
    </row>
    <row r="13" spans="1:14" x14ac:dyDescent="0.25">
      <c r="A13" s="58" t="s">
        <v>59</v>
      </c>
      <c r="B13" s="58">
        <v>33311122200</v>
      </c>
      <c r="C13" s="58">
        <v>1122334445</v>
      </c>
      <c r="D13" s="58" t="s">
        <v>60</v>
      </c>
      <c r="E13" s="58" t="s">
        <v>63</v>
      </c>
      <c r="F13" s="59">
        <v>45070</v>
      </c>
      <c r="G13" s="59">
        <v>45107</v>
      </c>
      <c r="H13" s="58"/>
      <c r="I13" s="58">
        <v>2</v>
      </c>
      <c r="J13" s="60">
        <v>18.75</v>
      </c>
      <c r="K13" s="58" t="str">
        <f t="shared" ref="K13:K21" si="4">TEXT(F13,"MMMM")</f>
        <v>maio</v>
      </c>
      <c r="L13" s="58" t="str">
        <f t="shared" ref="L13:L21" si="5">TEXT(F13,"AAAA")</f>
        <v>2023</v>
      </c>
      <c r="M13" s="58" t="str">
        <f t="shared" ref="M13:M21" si="6">TEXT(G13,"MMMM")</f>
        <v>junho</v>
      </c>
      <c r="N13" s="58" t="str">
        <f t="shared" ref="N13:N21" si="7">TEXT(G13,"AAAA")</f>
        <v>2023</v>
      </c>
    </row>
    <row r="14" spans="1:14" x14ac:dyDescent="0.25">
      <c r="A14" s="58" t="s">
        <v>59</v>
      </c>
      <c r="B14" s="58">
        <v>33311122200</v>
      </c>
      <c r="C14" s="58">
        <v>1122334445</v>
      </c>
      <c r="D14" s="58" t="s">
        <v>60</v>
      </c>
      <c r="E14" s="58" t="s">
        <v>63</v>
      </c>
      <c r="F14" s="59">
        <v>45070</v>
      </c>
      <c r="G14" s="59">
        <v>45137</v>
      </c>
      <c r="H14" s="58"/>
      <c r="I14" s="58">
        <v>3</v>
      </c>
      <c r="J14" s="60">
        <v>18.75</v>
      </c>
      <c r="K14" s="58" t="str">
        <f t="shared" si="4"/>
        <v>maio</v>
      </c>
      <c r="L14" s="58" t="str">
        <f t="shared" si="5"/>
        <v>2023</v>
      </c>
      <c r="M14" s="58" t="str">
        <f t="shared" si="6"/>
        <v>julho</v>
      </c>
      <c r="N14" s="58" t="str">
        <f t="shared" si="7"/>
        <v>2023</v>
      </c>
    </row>
    <row r="15" spans="1:14" x14ac:dyDescent="0.25">
      <c r="A15" s="58" t="s">
        <v>59</v>
      </c>
      <c r="B15" s="58">
        <v>33311122200</v>
      </c>
      <c r="C15" s="58">
        <v>1122334445</v>
      </c>
      <c r="D15" s="58" t="s">
        <v>60</v>
      </c>
      <c r="E15" s="58" t="s">
        <v>63</v>
      </c>
      <c r="F15" s="59">
        <v>45070</v>
      </c>
      <c r="G15" s="59">
        <v>45168</v>
      </c>
      <c r="H15" s="58"/>
      <c r="I15" s="58">
        <v>4</v>
      </c>
      <c r="J15" s="60">
        <v>18.75</v>
      </c>
      <c r="K15" s="58" t="str">
        <f t="shared" si="4"/>
        <v>maio</v>
      </c>
      <c r="L15" s="58" t="str">
        <f t="shared" si="5"/>
        <v>2023</v>
      </c>
      <c r="M15" s="58" t="str">
        <f t="shared" si="6"/>
        <v>agosto</v>
      </c>
      <c r="N15" s="58" t="str">
        <f t="shared" si="7"/>
        <v>2023</v>
      </c>
    </row>
    <row r="16" spans="1:14" x14ac:dyDescent="0.25">
      <c r="A16" s="58" t="s">
        <v>59</v>
      </c>
      <c r="B16" s="58">
        <v>33311122200</v>
      </c>
      <c r="C16" s="58">
        <v>1122334445</v>
      </c>
      <c r="D16" s="58" t="s">
        <v>60</v>
      </c>
      <c r="E16" s="58" t="s">
        <v>63</v>
      </c>
      <c r="F16" s="59">
        <v>45070</v>
      </c>
      <c r="G16" s="59">
        <v>45199</v>
      </c>
      <c r="H16" s="58"/>
      <c r="I16" s="58">
        <v>5</v>
      </c>
      <c r="J16" s="60">
        <v>18.75</v>
      </c>
      <c r="K16" s="58" t="str">
        <f t="shared" si="4"/>
        <v>maio</v>
      </c>
      <c r="L16" s="58" t="str">
        <f t="shared" si="5"/>
        <v>2023</v>
      </c>
      <c r="M16" s="58" t="str">
        <f t="shared" si="6"/>
        <v>setembro</v>
      </c>
      <c r="N16" s="58" t="str">
        <f t="shared" si="7"/>
        <v>2023</v>
      </c>
    </row>
    <row r="17" spans="1:14" x14ac:dyDescent="0.25">
      <c r="A17" s="58" t="s">
        <v>59</v>
      </c>
      <c r="B17" s="58">
        <v>33311122200</v>
      </c>
      <c r="C17" s="58">
        <v>1122334445</v>
      </c>
      <c r="D17" s="58" t="s">
        <v>60</v>
      </c>
      <c r="E17" s="58" t="s">
        <v>63</v>
      </c>
      <c r="F17" s="59">
        <v>45070</v>
      </c>
      <c r="G17" s="59">
        <v>45229</v>
      </c>
      <c r="H17" s="58"/>
      <c r="I17" s="58">
        <v>6</v>
      </c>
      <c r="J17" s="60">
        <v>18.75</v>
      </c>
      <c r="K17" s="58" t="str">
        <f t="shared" si="4"/>
        <v>maio</v>
      </c>
      <c r="L17" s="58" t="str">
        <f t="shared" si="5"/>
        <v>2023</v>
      </c>
      <c r="M17" s="58" t="str">
        <f t="shared" si="6"/>
        <v>outubro</v>
      </c>
      <c r="N17" s="58" t="str">
        <f t="shared" si="7"/>
        <v>2023</v>
      </c>
    </row>
    <row r="18" spans="1:14" x14ac:dyDescent="0.25">
      <c r="A18" s="58" t="s">
        <v>59</v>
      </c>
      <c r="B18" s="58">
        <v>33311122200</v>
      </c>
      <c r="C18" s="58">
        <v>1122334445</v>
      </c>
      <c r="D18" s="58" t="s">
        <v>60</v>
      </c>
      <c r="E18" s="58" t="s">
        <v>63</v>
      </c>
      <c r="F18" s="59">
        <v>45070</v>
      </c>
      <c r="G18" s="59">
        <v>45260</v>
      </c>
      <c r="H18" s="58"/>
      <c r="I18" s="58">
        <v>7</v>
      </c>
      <c r="J18" s="60">
        <v>18.75</v>
      </c>
      <c r="K18" s="58" t="str">
        <f t="shared" si="4"/>
        <v>maio</v>
      </c>
      <c r="L18" s="58" t="str">
        <f t="shared" si="5"/>
        <v>2023</v>
      </c>
      <c r="M18" s="58" t="str">
        <f t="shared" si="6"/>
        <v>novembro</v>
      </c>
      <c r="N18" s="58" t="str">
        <f t="shared" si="7"/>
        <v>2023</v>
      </c>
    </row>
    <row r="19" spans="1:14" x14ac:dyDescent="0.25">
      <c r="A19" s="58" t="s">
        <v>59</v>
      </c>
      <c r="B19" s="58">
        <v>33311122200</v>
      </c>
      <c r="C19" s="58">
        <v>1122334445</v>
      </c>
      <c r="D19" s="58" t="s">
        <v>60</v>
      </c>
      <c r="E19" s="58" t="s">
        <v>63</v>
      </c>
      <c r="F19" s="59">
        <v>45070</v>
      </c>
      <c r="G19" s="59">
        <v>45290</v>
      </c>
      <c r="H19" s="58"/>
      <c r="I19" s="58">
        <v>8</v>
      </c>
      <c r="J19" s="60">
        <v>18.75</v>
      </c>
      <c r="K19" s="58" t="str">
        <f t="shared" si="4"/>
        <v>maio</v>
      </c>
      <c r="L19" s="58" t="str">
        <f t="shared" si="5"/>
        <v>2023</v>
      </c>
      <c r="M19" s="58" t="str">
        <f t="shared" si="6"/>
        <v>dezembro</v>
      </c>
      <c r="N19" s="58" t="str">
        <f t="shared" si="7"/>
        <v>2023</v>
      </c>
    </row>
    <row r="20" spans="1:14" x14ac:dyDescent="0.25">
      <c r="A20" s="58" t="s">
        <v>59</v>
      </c>
      <c r="B20" s="58">
        <v>33311122200</v>
      </c>
      <c r="C20" s="58">
        <v>1122334445</v>
      </c>
      <c r="D20" s="58" t="s">
        <v>60</v>
      </c>
      <c r="E20" s="58" t="s">
        <v>63</v>
      </c>
      <c r="F20" s="59">
        <v>45070</v>
      </c>
      <c r="G20" s="59">
        <v>45321</v>
      </c>
      <c r="H20" s="58"/>
      <c r="I20" s="58">
        <v>9</v>
      </c>
      <c r="J20" s="60">
        <v>18.75</v>
      </c>
      <c r="K20" s="58" t="str">
        <f t="shared" si="4"/>
        <v>maio</v>
      </c>
      <c r="L20" s="58" t="str">
        <f t="shared" si="5"/>
        <v>2023</v>
      </c>
      <c r="M20" s="58" t="str">
        <f t="shared" si="6"/>
        <v>janeiro</v>
      </c>
      <c r="N20" s="58" t="str">
        <f t="shared" si="7"/>
        <v>2024</v>
      </c>
    </row>
    <row r="21" spans="1:14" x14ac:dyDescent="0.25">
      <c r="A21" s="58" t="s">
        <v>59</v>
      </c>
      <c r="B21" s="58">
        <v>33311122200</v>
      </c>
      <c r="C21" s="58">
        <v>1122334445</v>
      </c>
      <c r="D21" s="58" t="s">
        <v>60</v>
      </c>
      <c r="E21" s="58" t="s">
        <v>63</v>
      </c>
      <c r="F21" s="59">
        <v>45070</v>
      </c>
      <c r="G21" s="59">
        <v>45351</v>
      </c>
      <c r="H21" s="58"/>
      <c r="I21" s="58">
        <v>10</v>
      </c>
      <c r="J21" s="60">
        <v>18.75</v>
      </c>
      <c r="K21" s="58" t="str">
        <f t="shared" si="4"/>
        <v>maio</v>
      </c>
      <c r="L21" s="58" t="str">
        <f t="shared" si="5"/>
        <v>2023</v>
      </c>
      <c r="M21" s="58" t="str">
        <f t="shared" si="6"/>
        <v>fevereiro</v>
      </c>
      <c r="N21" s="58" t="str">
        <f t="shared" si="7"/>
        <v>2024</v>
      </c>
    </row>
    <row r="22" spans="1:14" x14ac:dyDescent="0.25">
      <c r="A22" s="58" t="s">
        <v>59</v>
      </c>
      <c r="B22" s="58">
        <v>33311122200</v>
      </c>
      <c r="C22" s="58">
        <v>1122334445</v>
      </c>
      <c r="D22" s="58" t="s">
        <v>60</v>
      </c>
      <c r="E22" s="58" t="s">
        <v>33</v>
      </c>
      <c r="F22" s="59">
        <v>44978</v>
      </c>
      <c r="G22" s="59">
        <v>44982</v>
      </c>
      <c r="H22" s="58">
        <v>542</v>
      </c>
      <c r="I22" s="58">
        <v>1</v>
      </c>
      <c r="J22" s="60">
        <v>77.428571428571431</v>
      </c>
      <c r="K22" s="58" t="str">
        <f>TEXT(F22,"MMMM")</f>
        <v>fevereiro</v>
      </c>
      <c r="L22" s="58" t="str">
        <f>TEXT(F22,"AAAA")</f>
        <v>2023</v>
      </c>
      <c r="M22" s="58" t="str">
        <f>TEXT(G22,"MMMM")</f>
        <v>fevereiro</v>
      </c>
      <c r="N22" s="58" t="str">
        <f>TEXT(G22,"AAAA")</f>
        <v>2023</v>
      </c>
    </row>
    <row r="23" spans="1:14" x14ac:dyDescent="0.25">
      <c r="A23" s="58" t="s">
        <v>59</v>
      </c>
      <c r="B23" s="58">
        <v>33311122200</v>
      </c>
      <c r="C23" s="58">
        <v>1122334445</v>
      </c>
      <c r="D23" s="58" t="s">
        <v>60</v>
      </c>
      <c r="E23" s="58" t="s">
        <v>33</v>
      </c>
      <c r="F23" s="59">
        <v>44978</v>
      </c>
      <c r="G23" s="59">
        <v>45010</v>
      </c>
      <c r="H23" s="58"/>
      <c r="I23" s="58">
        <v>2</v>
      </c>
      <c r="J23" s="60">
        <v>77.428571428571431</v>
      </c>
      <c r="K23" s="58" t="str">
        <f t="shared" ref="K23:K31" si="8">TEXT(F23,"MMMM")</f>
        <v>fevereiro</v>
      </c>
      <c r="L23" s="58" t="str">
        <f t="shared" ref="L23:L31" si="9">TEXT(F23,"AAAA")</f>
        <v>2023</v>
      </c>
      <c r="M23" s="58" t="str">
        <f t="shared" ref="M23:M31" si="10">TEXT(G23,"MMMM")</f>
        <v>março</v>
      </c>
      <c r="N23" s="58" t="str">
        <f t="shared" ref="N23:N31" si="11">TEXT(G23,"AAAA")</f>
        <v>2023</v>
      </c>
    </row>
    <row r="24" spans="1:14" x14ac:dyDescent="0.25">
      <c r="A24" s="58" t="s">
        <v>59</v>
      </c>
      <c r="B24" s="58">
        <v>33311122200</v>
      </c>
      <c r="C24" s="58">
        <v>1122334445</v>
      </c>
      <c r="D24" s="58" t="s">
        <v>60</v>
      </c>
      <c r="E24" s="58" t="s">
        <v>33</v>
      </c>
      <c r="F24" s="59">
        <v>44978</v>
      </c>
      <c r="G24" s="59">
        <v>45041</v>
      </c>
      <c r="H24" s="58"/>
      <c r="I24" s="58">
        <v>3</v>
      </c>
      <c r="J24" s="60">
        <v>77.428571428571431</v>
      </c>
      <c r="K24" s="58" t="str">
        <f t="shared" si="8"/>
        <v>fevereiro</v>
      </c>
      <c r="L24" s="58" t="str">
        <f t="shared" si="9"/>
        <v>2023</v>
      </c>
      <c r="M24" s="58" t="str">
        <f t="shared" si="10"/>
        <v>abril</v>
      </c>
      <c r="N24" s="58" t="str">
        <f t="shared" si="11"/>
        <v>2023</v>
      </c>
    </row>
    <row r="25" spans="1:14" x14ac:dyDescent="0.25">
      <c r="A25" s="58" t="s">
        <v>59</v>
      </c>
      <c r="B25" s="58">
        <v>33311122200</v>
      </c>
      <c r="C25" s="58">
        <v>1122334445</v>
      </c>
      <c r="D25" s="58" t="s">
        <v>60</v>
      </c>
      <c r="E25" s="58" t="s">
        <v>33</v>
      </c>
      <c r="F25" s="59">
        <v>44978</v>
      </c>
      <c r="G25" s="59">
        <v>45071</v>
      </c>
      <c r="H25" s="58"/>
      <c r="I25" s="58">
        <v>4</v>
      </c>
      <c r="J25" s="60">
        <v>77.428571428571431</v>
      </c>
      <c r="K25" s="58" t="str">
        <f t="shared" si="8"/>
        <v>fevereiro</v>
      </c>
      <c r="L25" s="58" t="str">
        <f t="shared" si="9"/>
        <v>2023</v>
      </c>
      <c r="M25" s="58" t="str">
        <f t="shared" si="10"/>
        <v>maio</v>
      </c>
      <c r="N25" s="58" t="str">
        <f t="shared" si="11"/>
        <v>2023</v>
      </c>
    </row>
    <row r="26" spans="1:14" x14ac:dyDescent="0.25">
      <c r="A26" s="58" t="s">
        <v>59</v>
      </c>
      <c r="B26" s="58">
        <v>33311122200</v>
      </c>
      <c r="C26" s="58">
        <v>1122334445</v>
      </c>
      <c r="D26" s="58" t="s">
        <v>60</v>
      </c>
      <c r="E26" s="58" t="s">
        <v>33</v>
      </c>
      <c r="F26" s="59">
        <v>44978</v>
      </c>
      <c r="G26" s="59">
        <v>45102</v>
      </c>
      <c r="H26" s="58"/>
      <c r="I26" s="58">
        <v>5</v>
      </c>
      <c r="J26" s="60">
        <v>77.428571428571431</v>
      </c>
      <c r="K26" s="58" t="str">
        <f t="shared" si="8"/>
        <v>fevereiro</v>
      </c>
      <c r="L26" s="58" t="str">
        <f t="shared" si="9"/>
        <v>2023</v>
      </c>
      <c r="M26" s="58" t="str">
        <f t="shared" si="10"/>
        <v>junho</v>
      </c>
      <c r="N26" s="58" t="str">
        <f t="shared" si="11"/>
        <v>2023</v>
      </c>
    </row>
    <row r="27" spans="1:14" x14ac:dyDescent="0.25">
      <c r="A27" s="58" t="s">
        <v>59</v>
      </c>
      <c r="B27" s="58">
        <v>33311122200</v>
      </c>
      <c r="C27" s="58">
        <v>1122334445</v>
      </c>
      <c r="D27" s="58" t="s">
        <v>60</v>
      </c>
      <c r="E27" s="58" t="s">
        <v>33</v>
      </c>
      <c r="F27" s="59">
        <v>44978</v>
      </c>
      <c r="G27" s="59">
        <v>45132</v>
      </c>
      <c r="H27" s="58"/>
      <c r="I27" s="58">
        <v>6</v>
      </c>
      <c r="J27" s="60">
        <v>77.428571428571431</v>
      </c>
      <c r="K27" s="58" t="str">
        <f t="shared" si="8"/>
        <v>fevereiro</v>
      </c>
      <c r="L27" s="58" t="str">
        <f t="shared" si="9"/>
        <v>2023</v>
      </c>
      <c r="M27" s="58" t="str">
        <f t="shared" si="10"/>
        <v>julho</v>
      </c>
      <c r="N27" s="58" t="str">
        <f t="shared" si="11"/>
        <v>2023</v>
      </c>
    </row>
    <row r="28" spans="1:14" x14ac:dyDescent="0.25">
      <c r="A28" s="58" t="s">
        <v>59</v>
      </c>
      <c r="B28" s="58">
        <v>33311122200</v>
      </c>
      <c r="C28" s="58">
        <v>1122334445</v>
      </c>
      <c r="D28" s="58" t="s">
        <v>60</v>
      </c>
      <c r="E28" s="58" t="s">
        <v>33</v>
      </c>
      <c r="F28" s="59">
        <v>44978</v>
      </c>
      <c r="G28" s="59">
        <v>45163</v>
      </c>
      <c r="H28" s="58"/>
      <c r="I28" s="58">
        <v>7</v>
      </c>
      <c r="J28" s="60">
        <v>77.428571428571431</v>
      </c>
      <c r="K28" s="58" t="str">
        <f t="shared" si="8"/>
        <v>fevereiro</v>
      </c>
      <c r="L28" s="58" t="str">
        <f t="shared" si="9"/>
        <v>2023</v>
      </c>
      <c r="M28" s="58" t="str">
        <f t="shared" si="10"/>
        <v>agosto</v>
      </c>
      <c r="N28" s="58" t="str">
        <f t="shared" si="11"/>
        <v>2023</v>
      </c>
    </row>
    <row r="29" spans="1:14" x14ac:dyDescent="0.25">
      <c r="A29" s="58" t="s">
        <v>59</v>
      </c>
      <c r="B29" s="58">
        <v>33311122200</v>
      </c>
      <c r="C29" s="58">
        <v>1122334445</v>
      </c>
      <c r="D29" s="58" t="s">
        <v>60</v>
      </c>
      <c r="E29" s="58" t="s">
        <v>33</v>
      </c>
      <c r="F29" s="59">
        <v>44978</v>
      </c>
      <c r="G29" s="59">
        <v>45194</v>
      </c>
      <c r="H29" s="58"/>
      <c r="I29" s="58">
        <v>8</v>
      </c>
      <c r="J29" s="60">
        <v>77.428571428571431</v>
      </c>
      <c r="K29" s="58" t="str">
        <f t="shared" si="8"/>
        <v>fevereiro</v>
      </c>
      <c r="L29" s="58" t="str">
        <f t="shared" si="9"/>
        <v>2023</v>
      </c>
      <c r="M29" s="58" t="str">
        <f t="shared" si="10"/>
        <v>setembro</v>
      </c>
      <c r="N29" s="58" t="str">
        <f t="shared" si="11"/>
        <v>2023</v>
      </c>
    </row>
    <row r="30" spans="1:14" x14ac:dyDescent="0.25">
      <c r="A30" s="58" t="s">
        <v>59</v>
      </c>
      <c r="B30" s="58">
        <v>33311122200</v>
      </c>
      <c r="C30" s="58">
        <v>1122334445</v>
      </c>
      <c r="D30" s="58" t="s">
        <v>60</v>
      </c>
      <c r="E30" s="58" t="s">
        <v>33</v>
      </c>
      <c r="F30" s="59">
        <v>44978</v>
      </c>
      <c r="G30" s="59">
        <v>45224</v>
      </c>
      <c r="H30" s="58"/>
      <c r="I30" s="58">
        <v>9</v>
      </c>
      <c r="J30" s="60">
        <v>77.428571428571431</v>
      </c>
      <c r="K30" s="58" t="str">
        <f t="shared" si="8"/>
        <v>fevereiro</v>
      </c>
      <c r="L30" s="58" t="str">
        <f t="shared" si="9"/>
        <v>2023</v>
      </c>
      <c r="M30" s="58" t="str">
        <f t="shared" si="10"/>
        <v>outubro</v>
      </c>
      <c r="N30" s="58" t="str">
        <f t="shared" si="11"/>
        <v>2023</v>
      </c>
    </row>
    <row r="31" spans="1:14" x14ac:dyDescent="0.25">
      <c r="A31" s="58" t="s">
        <v>59</v>
      </c>
      <c r="B31" s="58">
        <v>33311122200</v>
      </c>
      <c r="C31" s="58">
        <v>1122334445</v>
      </c>
      <c r="D31" s="58" t="s">
        <v>60</v>
      </c>
      <c r="E31" s="58" t="s">
        <v>33</v>
      </c>
      <c r="F31" s="59">
        <v>44978</v>
      </c>
      <c r="G31" s="59">
        <v>45255</v>
      </c>
      <c r="H31" s="58"/>
      <c r="I31" s="58">
        <v>10</v>
      </c>
      <c r="J31" s="60">
        <v>77.428571428571431</v>
      </c>
      <c r="K31" s="58" t="str">
        <f t="shared" si="8"/>
        <v>fevereiro</v>
      </c>
      <c r="L31" s="58" t="str">
        <f t="shared" si="9"/>
        <v>2023</v>
      </c>
      <c r="M31" s="58" t="str">
        <f t="shared" si="10"/>
        <v>novembro</v>
      </c>
      <c r="N31" s="58" t="str">
        <f t="shared" si="11"/>
        <v>2023</v>
      </c>
    </row>
    <row r="32" spans="1:14" x14ac:dyDescent="0.25">
      <c r="A32" t="s">
        <v>21</v>
      </c>
      <c r="B32">
        <v>1010101010</v>
      </c>
      <c r="C32">
        <v>1111111</v>
      </c>
      <c r="D32" s="18" t="s">
        <v>18</v>
      </c>
      <c r="E32" t="s">
        <v>61</v>
      </c>
      <c r="F32" s="23">
        <v>44978</v>
      </c>
      <c r="G32" s="23">
        <v>44982</v>
      </c>
      <c r="H32" s="46">
        <v>240</v>
      </c>
      <c r="I32">
        <v>10</v>
      </c>
      <c r="J32" s="46">
        <v>24</v>
      </c>
      <c r="K32" t="str">
        <f>TEXT(F32,"MMMM")</f>
        <v>fevereiro</v>
      </c>
      <c r="L32" t="str">
        <f>TEXT(F32,"AAAA")</f>
        <v>2023</v>
      </c>
      <c r="M32" t="str">
        <f>TEXT(G32,"MMMM")</f>
        <v>fevereiro</v>
      </c>
      <c r="N32" t="str">
        <f>TEXT(G32,"AAAA")</f>
        <v>2023</v>
      </c>
    </row>
    <row r="33" spans="1:14" x14ac:dyDescent="0.25">
      <c r="A33" t="s">
        <v>21</v>
      </c>
      <c r="B33">
        <v>1010101010</v>
      </c>
      <c r="C33">
        <v>1111111</v>
      </c>
      <c r="D33" s="18" t="s">
        <v>18</v>
      </c>
      <c r="E33" t="s">
        <v>61</v>
      </c>
      <c r="F33" s="23">
        <v>44978</v>
      </c>
      <c r="G33" s="23">
        <v>45010</v>
      </c>
      <c r="H33" s="46"/>
      <c r="I33">
        <v>10</v>
      </c>
      <c r="J33" s="46">
        <v>24</v>
      </c>
      <c r="K33" t="str">
        <f t="shared" ref="K33:K52" si="12">TEXT(F33,"MMMM")</f>
        <v>fevereiro</v>
      </c>
      <c r="L33" t="str">
        <f t="shared" ref="L33:L52" si="13">TEXT(F33,"AAAA")</f>
        <v>2023</v>
      </c>
      <c r="M33" t="str">
        <f t="shared" ref="M33:M52" si="14">TEXT(G33,"MMMM")</f>
        <v>março</v>
      </c>
      <c r="N33" t="str">
        <f t="shared" ref="N33:N52" si="15">TEXT(G33,"AAAA")</f>
        <v>2023</v>
      </c>
    </row>
    <row r="34" spans="1:14" x14ac:dyDescent="0.25">
      <c r="A34" t="s">
        <v>21</v>
      </c>
      <c r="B34">
        <v>1010101010</v>
      </c>
      <c r="C34">
        <v>1111111</v>
      </c>
      <c r="D34" s="18" t="s">
        <v>18</v>
      </c>
      <c r="E34" t="s">
        <v>61</v>
      </c>
      <c r="F34" s="23">
        <v>44978</v>
      </c>
      <c r="G34" s="23">
        <v>45041</v>
      </c>
      <c r="H34" s="46"/>
      <c r="I34">
        <v>10</v>
      </c>
      <c r="J34" s="46">
        <v>24</v>
      </c>
      <c r="K34" t="str">
        <f t="shared" si="12"/>
        <v>fevereiro</v>
      </c>
      <c r="L34" t="str">
        <f t="shared" si="13"/>
        <v>2023</v>
      </c>
      <c r="M34" t="str">
        <f t="shared" si="14"/>
        <v>abril</v>
      </c>
      <c r="N34" t="str">
        <f t="shared" si="15"/>
        <v>2023</v>
      </c>
    </row>
    <row r="35" spans="1:14" x14ac:dyDescent="0.25">
      <c r="A35" t="s">
        <v>21</v>
      </c>
      <c r="B35">
        <v>1010101010</v>
      </c>
      <c r="C35">
        <v>1111111</v>
      </c>
      <c r="D35" s="18" t="s">
        <v>18</v>
      </c>
      <c r="E35" t="s">
        <v>61</v>
      </c>
      <c r="F35" s="23">
        <v>44978</v>
      </c>
      <c r="G35" s="23">
        <v>45071</v>
      </c>
      <c r="H35" s="46"/>
      <c r="I35">
        <v>10</v>
      </c>
      <c r="J35" s="46">
        <v>24</v>
      </c>
      <c r="K35" t="str">
        <f t="shared" si="12"/>
        <v>fevereiro</v>
      </c>
      <c r="L35" t="str">
        <f t="shared" si="13"/>
        <v>2023</v>
      </c>
      <c r="M35" t="str">
        <f t="shared" si="14"/>
        <v>maio</v>
      </c>
      <c r="N35" t="str">
        <f t="shared" si="15"/>
        <v>2023</v>
      </c>
    </row>
    <row r="36" spans="1:14" x14ac:dyDescent="0.25">
      <c r="A36" t="s">
        <v>21</v>
      </c>
      <c r="B36">
        <v>1010101010</v>
      </c>
      <c r="C36">
        <v>1111111</v>
      </c>
      <c r="D36" s="18" t="s">
        <v>18</v>
      </c>
      <c r="E36" t="s">
        <v>61</v>
      </c>
      <c r="F36" s="23">
        <v>44978</v>
      </c>
      <c r="G36" s="23">
        <v>45102</v>
      </c>
      <c r="H36" s="46"/>
      <c r="I36">
        <v>10</v>
      </c>
      <c r="J36" s="46">
        <v>24</v>
      </c>
      <c r="K36" t="str">
        <f t="shared" si="12"/>
        <v>fevereiro</v>
      </c>
      <c r="L36" t="str">
        <f t="shared" si="13"/>
        <v>2023</v>
      </c>
      <c r="M36" t="str">
        <f t="shared" si="14"/>
        <v>junho</v>
      </c>
      <c r="N36" t="str">
        <f t="shared" si="15"/>
        <v>2023</v>
      </c>
    </row>
    <row r="37" spans="1:14" x14ac:dyDescent="0.25">
      <c r="A37" t="s">
        <v>21</v>
      </c>
      <c r="B37">
        <v>1010101010</v>
      </c>
      <c r="C37">
        <v>1111111</v>
      </c>
      <c r="D37" s="18" t="s">
        <v>18</v>
      </c>
      <c r="E37" t="s">
        <v>61</v>
      </c>
      <c r="F37" s="23">
        <v>44978</v>
      </c>
      <c r="G37" s="23">
        <v>45132</v>
      </c>
      <c r="H37" s="46"/>
      <c r="I37">
        <v>10</v>
      </c>
      <c r="J37" s="46">
        <v>24</v>
      </c>
      <c r="K37" t="str">
        <f t="shared" si="12"/>
        <v>fevereiro</v>
      </c>
      <c r="L37" t="str">
        <f t="shared" si="13"/>
        <v>2023</v>
      </c>
      <c r="M37" t="str">
        <f t="shared" si="14"/>
        <v>julho</v>
      </c>
      <c r="N37" t="str">
        <f t="shared" si="15"/>
        <v>2023</v>
      </c>
    </row>
    <row r="38" spans="1:14" x14ac:dyDescent="0.25">
      <c r="A38" t="s">
        <v>21</v>
      </c>
      <c r="B38">
        <v>1010101010</v>
      </c>
      <c r="C38">
        <v>1111111</v>
      </c>
      <c r="D38" s="18" t="s">
        <v>18</v>
      </c>
      <c r="E38" t="s">
        <v>61</v>
      </c>
      <c r="F38" s="23">
        <v>44978</v>
      </c>
      <c r="G38" s="23">
        <v>45163</v>
      </c>
      <c r="H38" s="46"/>
      <c r="I38">
        <v>10</v>
      </c>
      <c r="J38" s="46">
        <v>24</v>
      </c>
      <c r="K38" t="str">
        <f t="shared" si="12"/>
        <v>fevereiro</v>
      </c>
      <c r="L38" t="str">
        <f t="shared" si="13"/>
        <v>2023</v>
      </c>
      <c r="M38" t="str">
        <f t="shared" si="14"/>
        <v>agosto</v>
      </c>
      <c r="N38" t="str">
        <f t="shared" si="15"/>
        <v>2023</v>
      </c>
    </row>
    <row r="39" spans="1:14" x14ac:dyDescent="0.25">
      <c r="A39" t="s">
        <v>21</v>
      </c>
      <c r="B39">
        <v>1010101010</v>
      </c>
      <c r="C39">
        <v>1111111</v>
      </c>
      <c r="D39" s="18" t="s">
        <v>18</v>
      </c>
      <c r="E39" t="s">
        <v>61</v>
      </c>
      <c r="F39" s="23">
        <v>44978</v>
      </c>
      <c r="G39" s="23">
        <v>45194</v>
      </c>
      <c r="H39" s="46"/>
      <c r="I39">
        <v>10</v>
      </c>
      <c r="J39" s="46">
        <v>24</v>
      </c>
      <c r="K39" t="str">
        <f t="shared" si="12"/>
        <v>fevereiro</v>
      </c>
      <c r="L39" t="str">
        <f t="shared" si="13"/>
        <v>2023</v>
      </c>
      <c r="M39" t="str">
        <f t="shared" si="14"/>
        <v>setembro</v>
      </c>
      <c r="N39" t="str">
        <f t="shared" si="15"/>
        <v>2023</v>
      </c>
    </row>
    <row r="40" spans="1:14" x14ac:dyDescent="0.25">
      <c r="A40" t="s">
        <v>21</v>
      </c>
      <c r="B40">
        <v>1010101010</v>
      </c>
      <c r="C40">
        <v>1111111</v>
      </c>
      <c r="D40" s="18" t="s">
        <v>18</v>
      </c>
      <c r="E40" t="s">
        <v>61</v>
      </c>
      <c r="F40" s="23">
        <v>44978</v>
      </c>
      <c r="G40" s="23">
        <v>45224</v>
      </c>
      <c r="H40" s="46"/>
      <c r="I40">
        <v>10</v>
      </c>
      <c r="J40" s="46">
        <v>24</v>
      </c>
      <c r="K40" t="str">
        <f t="shared" si="12"/>
        <v>fevereiro</v>
      </c>
      <c r="L40" t="str">
        <f t="shared" si="13"/>
        <v>2023</v>
      </c>
      <c r="M40" t="str">
        <f t="shared" si="14"/>
        <v>outubro</v>
      </c>
      <c r="N40" t="str">
        <f t="shared" si="15"/>
        <v>2023</v>
      </c>
    </row>
    <row r="41" spans="1:14" x14ac:dyDescent="0.25">
      <c r="A41" t="s">
        <v>21</v>
      </c>
      <c r="B41">
        <v>1010101010</v>
      </c>
      <c r="C41">
        <v>1111111</v>
      </c>
      <c r="D41" s="18" t="s">
        <v>18</v>
      </c>
      <c r="E41" t="s">
        <v>61</v>
      </c>
      <c r="F41" s="23">
        <v>44978</v>
      </c>
      <c r="G41" s="23">
        <v>45255</v>
      </c>
      <c r="H41" s="46"/>
      <c r="I41">
        <v>10</v>
      </c>
      <c r="J41" s="46">
        <v>24</v>
      </c>
      <c r="K41" t="str">
        <f t="shared" si="12"/>
        <v>fevereiro</v>
      </c>
      <c r="L41" t="str">
        <f t="shared" si="13"/>
        <v>2023</v>
      </c>
      <c r="M41" t="str">
        <f t="shared" si="14"/>
        <v>novembro</v>
      </c>
      <c r="N41" t="str">
        <f t="shared" si="15"/>
        <v>2023</v>
      </c>
    </row>
    <row r="42" spans="1:14" x14ac:dyDescent="0.25">
      <c r="A42" t="s">
        <v>22</v>
      </c>
      <c r="B42">
        <v>202020202020</v>
      </c>
      <c r="C42">
        <v>22222</v>
      </c>
      <c r="D42" s="18" t="s">
        <v>19</v>
      </c>
      <c r="E42" t="s">
        <v>61</v>
      </c>
      <c r="F42" s="23">
        <v>45008</v>
      </c>
      <c r="G42" s="23">
        <v>45014</v>
      </c>
      <c r="H42" s="46">
        <v>250</v>
      </c>
      <c r="I42">
        <v>5</v>
      </c>
      <c r="J42" s="46">
        <v>50</v>
      </c>
      <c r="K42" t="str">
        <f t="shared" si="12"/>
        <v>março</v>
      </c>
      <c r="L42" t="str">
        <f t="shared" si="13"/>
        <v>2023</v>
      </c>
      <c r="M42" t="str">
        <f t="shared" si="14"/>
        <v>março</v>
      </c>
      <c r="N42" t="str">
        <f t="shared" si="15"/>
        <v>2023</v>
      </c>
    </row>
    <row r="43" spans="1:14" x14ac:dyDescent="0.25">
      <c r="A43" t="s">
        <v>22</v>
      </c>
      <c r="B43">
        <v>202020202020</v>
      </c>
      <c r="C43">
        <v>22222</v>
      </c>
      <c r="D43" s="18" t="s">
        <v>19</v>
      </c>
      <c r="E43" t="s">
        <v>61</v>
      </c>
      <c r="F43" s="23">
        <v>45008</v>
      </c>
      <c r="G43" s="23">
        <v>45045</v>
      </c>
      <c r="H43" s="46"/>
      <c r="I43">
        <v>5</v>
      </c>
      <c r="J43" s="46">
        <v>50</v>
      </c>
      <c r="K43" t="str">
        <f t="shared" si="12"/>
        <v>março</v>
      </c>
      <c r="L43" t="str">
        <f t="shared" si="13"/>
        <v>2023</v>
      </c>
      <c r="M43" t="str">
        <f t="shared" si="14"/>
        <v>abril</v>
      </c>
      <c r="N43" t="str">
        <f t="shared" si="15"/>
        <v>2023</v>
      </c>
    </row>
    <row r="44" spans="1:14" x14ac:dyDescent="0.25">
      <c r="A44" t="s">
        <v>22</v>
      </c>
      <c r="B44">
        <v>202020202020</v>
      </c>
      <c r="C44">
        <v>22222</v>
      </c>
      <c r="D44" s="18" t="s">
        <v>19</v>
      </c>
      <c r="E44" t="s">
        <v>61</v>
      </c>
      <c r="F44" s="23">
        <v>45008</v>
      </c>
      <c r="G44" s="23">
        <v>45075</v>
      </c>
      <c r="H44" s="46"/>
      <c r="I44">
        <v>5</v>
      </c>
      <c r="J44" s="46">
        <v>50</v>
      </c>
      <c r="K44" t="str">
        <f t="shared" si="12"/>
        <v>março</v>
      </c>
      <c r="L44" t="str">
        <f t="shared" si="13"/>
        <v>2023</v>
      </c>
      <c r="M44" t="str">
        <f t="shared" si="14"/>
        <v>maio</v>
      </c>
      <c r="N44" t="str">
        <f t="shared" si="15"/>
        <v>2023</v>
      </c>
    </row>
    <row r="45" spans="1:14" x14ac:dyDescent="0.25">
      <c r="A45" t="s">
        <v>22</v>
      </c>
      <c r="B45">
        <v>202020202020</v>
      </c>
      <c r="C45">
        <v>22222</v>
      </c>
      <c r="D45" s="18" t="s">
        <v>19</v>
      </c>
      <c r="E45" t="s">
        <v>61</v>
      </c>
      <c r="F45" s="23">
        <v>45008</v>
      </c>
      <c r="G45" s="23">
        <v>45106</v>
      </c>
      <c r="H45" s="46"/>
      <c r="I45">
        <v>5</v>
      </c>
      <c r="J45" s="46">
        <v>50</v>
      </c>
      <c r="K45" t="str">
        <f t="shared" si="12"/>
        <v>março</v>
      </c>
      <c r="L45" t="str">
        <f t="shared" si="13"/>
        <v>2023</v>
      </c>
      <c r="M45" t="str">
        <f t="shared" si="14"/>
        <v>junho</v>
      </c>
      <c r="N45" t="str">
        <f t="shared" si="15"/>
        <v>2023</v>
      </c>
    </row>
    <row r="46" spans="1:14" x14ac:dyDescent="0.25">
      <c r="A46" t="s">
        <v>22</v>
      </c>
      <c r="B46">
        <v>202020202020</v>
      </c>
      <c r="C46">
        <v>22222</v>
      </c>
      <c r="D46" s="18" t="s">
        <v>19</v>
      </c>
      <c r="E46" t="s">
        <v>61</v>
      </c>
      <c r="F46" s="23">
        <v>45008</v>
      </c>
      <c r="G46" s="23">
        <v>45136</v>
      </c>
      <c r="H46" s="46"/>
      <c r="I46">
        <v>5</v>
      </c>
      <c r="J46" s="46">
        <v>50</v>
      </c>
      <c r="K46" t="str">
        <f t="shared" si="12"/>
        <v>março</v>
      </c>
      <c r="L46" t="str">
        <f t="shared" si="13"/>
        <v>2023</v>
      </c>
      <c r="M46" t="str">
        <f t="shared" si="14"/>
        <v>julho</v>
      </c>
      <c r="N46" t="str">
        <f t="shared" si="15"/>
        <v>2023</v>
      </c>
    </row>
    <row r="47" spans="1:14" x14ac:dyDescent="0.25">
      <c r="A47" t="s">
        <v>23</v>
      </c>
      <c r="B47">
        <v>3030303030303</v>
      </c>
      <c r="C47">
        <v>33333</v>
      </c>
      <c r="D47" s="18" t="s">
        <v>20</v>
      </c>
      <c r="E47" t="s">
        <v>61</v>
      </c>
      <c r="F47" s="23">
        <v>44938</v>
      </c>
      <c r="G47" s="23">
        <v>44938</v>
      </c>
      <c r="H47" s="46">
        <v>360</v>
      </c>
      <c r="I47">
        <v>6</v>
      </c>
      <c r="J47" s="46">
        <v>60</v>
      </c>
      <c r="K47" t="str">
        <f t="shared" si="12"/>
        <v>janeiro</v>
      </c>
      <c r="L47" t="str">
        <f t="shared" si="13"/>
        <v>2023</v>
      </c>
      <c r="M47" t="str">
        <f t="shared" si="14"/>
        <v>janeiro</v>
      </c>
      <c r="N47" t="str">
        <f t="shared" si="15"/>
        <v>2023</v>
      </c>
    </row>
    <row r="48" spans="1:14" x14ac:dyDescent="0.25">
      <c r="A48" t="s">
        <v>23</v>
      </c>
      <c r="B48">
        <v>3030303030303</v>
      </c>
      <c r="C48">
        <v>33333</v>
      </c>
      <c r="D48" s="18" t="s">
        <v>20</v>
      </c>
      <c r="E48" t="s">
        <v>61</v>
      </c>
      <c r="F48" s="23">
        <v>44938</v>
      </c>
      <c r="G48" s="23">
        <v>44969</v>
      </c>
      <c r="H48" s="46"/>
      <c r="I48">
        <v>6</v>
      </c>
      <c r="J48" s="46">
        <v>60</v>
      </c>
      <c r="K48" t="str">
        <f t="shared" si="12"/>
        <v>janeiro</v>
      </c>
      <c r="L48" t="str">
        <f t="shared" si="13"/>
        <v>2023</v>
      </c>
      <c r="M48" t="str">
        <f t="shared" si="14"/>
        <v>fevereiro</v>
      </c>
      <c r="N48" t="str">
        <f t="shared" si="15"/>
        <v>2023</v>
      </c>
    </row>
    <row r="49" spans="1:14" x14ac:dyDescent="0.25">
      <c r="A49" t="s">
        <v>23</v>
      </c>
      <c r="B49">
        <v>3030303030303</v>
      </c>
      <c r="C49">
        <v>33333</v>
      </c>
      <c r="D49" s="18" t="s">
        <v>20</v>
      </c>
      <c r="E49" t="s">
        <v>61</v>
      </c>
      <c r="F49" s="23">
        <v>44938</v>
      </c>
      <c r="G49" s="23">
        <v>44997</v>
      </c>
      <c r="H49" s="46"/>
      <c r="I49">
        <v>6</v>
      </c>
      <c r="J49" s="46">
        <v>60</v>
      </c>
      <c r="K49" t="str">
        <f t="shared" si="12"/>
        <v>janeiro</v>
      </c>
      <c r="L49" t="str">
        <f t="shared" si="13"/>
        <v>2023</v>
      </c>
      <c r="M49" t="str">
        <f t="shared" si="14"/>
        <v>março</v>
      </c>
      <c r="N49" t="str">
        <f t="shared" si="15"/>
        <v>2023</v>
      </c>
    </row>
    <row r="50" spans="1:14" x14ac:dyDescent="0.25">
      <c r="A50" t="s">
        <v>23</v>
      </c>
      <c r="B50">
        <v>3030303030303</v>
      </c>
      <c r="C50">
        <v>33333</v>
      </c>
      <c r="D50" s="18" t="s">
        <v>20</v>
      </c>
      <c r="E50" t="s">
        <v>61</v>
      </c>
      <c r="F50" s="23">
        <v>44938</v>
      </c>
      <c r="G50" s="23">
        <v>45028</v>
      </c>
      <c r="H50" s="46"/>
      <c r="I50">
        <v>6</v>
      </c>
      <c r="J50" s="46">
        <v>60</v>
      </c>
      <c r="K50" t="str">
        <f t="shared" si="12"/>
        <v>janeiro</v>
      </c>
      <c r="L50" t="str">
        <f t="shared" si="13"/>
        <v>2023</v>
      </c>
      <c r="M50" t="str">
        <f t="shared" si="14"/>
        <v>abril</v>
      </c>
      <c r="N50" t="str">
        <f t="shared" si="15"/>
        <v>2023</v>
      </c>
    </row>
    <row r="51" spans="1:14" x14ac:dyDescent="0.25">
      <c r="A51" t="s">
        <v>23</v>
      </c>
      <c r="B51">
        <v>3030303030303</v>
      </c>
      <c r="C51">
        <v>33333</v>
      </c>
      <c r="D51" s="18" t="s">
        <v>20</v>
      </c>
      <c r="E51" t="s">
        <v>61</v>
      </c>
      <c r="F51" s="23">
        <v>44938</v>
      </c>
      <c r="G51" s="23">
        <v>45058</v>
      </c>
      <c r="H51" s="46"/>
      <c r="I51">
        <v>6</v>
      </c>
      <c r="J51" s="46">
        <v>60</v>
      </c>
      <c r="K51" t="str">
        <f t="shared" si="12"/>
        <v>janeiro</v>
      </c>
      <c r="L51" t="str">
        <f t="shared" si="13"/>
        <v>2023</v>
      </c>
      <c r="M51" t="str">
        <f t="shared" si="14"/>
        <v>maio</v>
      </c>
      <c r="N51" t="str">
        <f t="shared" si="15"/>
        <v>2023</v>
      </c>
    </row>
    <row r="52" spans="1:14" x14ac:dyDescent="0.25">
      <c r="A52" t="s">
        <v>23</v>
      </c>
      <c r="B52">
        <v>3030303030303</v>
      </c>
      <c r="C52">
        <v>33333</v>
      </c>
      <c r="D52" s="18" t="s">
        <v>20</v>
      </c>
      <c r="E52" t="s">
        <v>61</v>
      </c>
      <c r="F52" s="23">
        <v>44938</v>
      </c>
      <c r="G52" s="23">
        <v>45089</v>
      </c>
      <c r="H52" s="46"/>
      <c r="I52">
        <v>6</v>
      </c>
      <c r="J52" s="46">
        <v>60</v>
      </c>
      <c r="K52" t="str">
        <f t="shared" si="12"/>
        <v>janeiro</v>
      </c>
      <c r="L52" t="str">
        <f t="shared" si="13"/>
        <v>2023</v>
      </c>
      <c r="M52" t="str">
        <f t="shared" si="14"/>
        <v>junho</v>
      </c>
      <c r="N52" t="str">
        <f t="shared" si="15"/>
        <v>2023</v>
      </c>
    </row>
    <row r="53" spans="1:14" x14ac:dyDescent="0.25">
      <c r="C53" s="55"/>
      <c r="D53" s="18"/>
    </row>
  </sheetData>
  <hyperlinks>
    <hyperlink ref="D32" r:id="rId1" xr:uid="{CB2870DB-33A6-4C03-AC95-7861AD436076}"/>
    <hyperlink ref="D42" r:id="rId2" xr:uid="{0B4099E1-33B9-40E8-AC9D-42C6B15F5FCE}"/>
    <hyperlink ref="D47" r:id="rId3" xr:uid="{614E2E50-A7F2-4C62-9248-F6338612BABA}"/>
    <hyperlink ref="D33" r:id="rId4" xr:uid="{9D91E14E-B3DB-4907-A950-AD3BDABF1588}"/>
    <hyperlink ref="D34" r:id="rId5" xr:uid="{50D6C325-5E73-4D85-907D-870FC6D8863F}"/>
    <hyperlink ref="D35" r:id="rId6" xr:uid="{51B69023-74F5-40DF-ABC0-774CF1DD198E}"/>
    <hyperlink ref="D36" r:id="rId7" xr:uid="{4C29A8FA-65DF-482E-820A-2E572BE3FCDC}"/>
    <hyperlink ref="D37" r:id="rId8" xr:uid="{86A0D38B-1FE0-4470-831F-9FA870C15D59}"/>
    <hyperlink ref="D38" r:id="rId9" xr:uid="{6EB70BC6-8580-46E1-9E56-F39DF389298B}"/>
    <hyperlink ref="D39" r:id="rId10" xr:uid="{923F9C0F-D052-42BA-B46A-544E37D246D4}"/>
    <hyperlink ref="D40" r:id="rId11" xr:uid="{B6C18CB7-18CF-4D71-AD0B-81BFAE6C5D62}"/>
    <hyperlink ref="D41" r:id="rId12" xr:uid="{9458703C-8EE9-4969-B023-7E913D73CC75}"/>
    <hyperlink ref="D43" r:id="rId13" xr:uid="{44607B74-FD29-450B-9EE1-FD0094103523}"/>
    <hyperlink ref="D44" r:id="rId14" xr:uid="{8BD948FD-A015-49E9-A285-739CFBCE8E96}"/>
    <hyperlink ref="D45" r:id="rId15" xr:uid="{86D16D1F-C7A7-4E1F-8FBA-5860C2C4F147}"/>
    <hyperlink ref="D46" r:id="rId16" xr:uid="{F7850BC7-1C2E-42CB-AFB7-ADC15F0511E7}"/>
    <hyperlink ref="D48" r:id="rId17" xr:uid="{50513DBC-AC84-494A-A9E2-A783507159A8}"/>
    <hyperlink ref="D49" r:id="rId18" xr:uid="{6336BCA9-20D7-4BA3-BFC4-4D2D63FE12AF}"/>
    <hyperlink ref="D50" r:id="rId19" xr:uid="{CC680521-9A25-4117-9C9E-3E95DF288EFA}"/>
    <hyperlink ref="D51" r:id="rId20" xr:uid="{D0DB5106-5E4F-458E-A3A0-81818DB9B98B}"/>
    <hyperlink ref="D52" r:id="rId21" xr:uid="{8DFD090A-0329-4F2B-BDB0-D4705451ED0C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dimension ref="A1:J5"/>
  <sheetViews>
    <sheetView workbookViewId="0">
      <selection activeCell="F10" sqref="F10"/>
    </sheetView>
  </sheetViews>
  <sheetFormatPr defaultRowHeight="15" x14ac:dyDescent="0.25"/>
  <cols>
    <col min="1" max="1" width="23" bestFit="1" customWidth="1"/>
    <col min="2" max="4" width="22" customWidth="1"/>
    <col min="5" max="5" width="16.42578125" style="57" customWidth="1"/>
    <col min="6" max="6" width="13.5703125" customWidth="1"/>
    <col min="7" max="7" width="9" customWidth="1"/>
    <col min="8" max="8" width="9.85546875" customWidth="1"/>
    <col min="9" max="9" width="14.5703125" customWidth="1"/>
    <col min="10" max="10" width="17.140625" bestFit="1" customWidth="1"/>
  </cols>
  <sheetData>
    <row r="1" spans="1:10" x14ac:dyDescent="0.25">
      <c r="A1" t="s">
        <v>7</v>
      </c>
      <c r="B1" t="s">
        <v>3</v>
      </c>
      <c r="C1" t="s">
        <v>8</v>
      </c>
      <c r="D1" t="s">
        <v>5</v>
      </c>
      <c r="E1" s="56" t="s">
        <v>27</v>
      </c>
      <c r="F1" s="1"/>
      <c r="G1" s="1"/>
      <c r="H1" s="1"/>
      <c r="I1" s="1"/>
      <c r="J1" s="1"/>
    </row>
    <row r="2" spans="1:10" x14ac:dyDescent="0.25">
      <c r="A2" t="s">
        <v>21</v>
      </c>
      <c r="B2">
        <v>1010101010</v>
      </c>
      <c r="C2">
        <v>1111111</v>
      </c>
      <c r="D2" s="18" t="s">
        <v>18</v>
      </c>
      <c r="E2" s="24">
        <v>43545</v>
      </c>
    </row>
    <row r="3" spans="1:10" x14ac:dyDescent="0.25">
      <c r="A3" t="s">
        <v>22</v>
      </c>
      <c r="B3">
        <v>202020202020</v>
      </c>
      <c r="C3">
        <v>22222</v>
      </c>
      <c r="D3" s="18" t="s">
        <v>19</v>
      </c>
      <c r="E3" s="24" t="s">
        <v>28</v>
      </c>
    </row>
    <row r="4" spans="1:10" x14ac:dyDescent="0.25">
      <c r="A4" t="s">
        <v>23</v>
      </c>
      <c r="B4">
        <v>3030303030303</v>
      </c>
      <c r="C4">
        <v>33333</v>
      </c>
      <c r="D4" s="18" t="s">
        <v>20</v>
      </c>
      <c r="E4" s="24">
        <v>35977</v>
      </c>
    </row>
    <row r="5" spans="1:10" x14ac:dyDescent="0.25">
      <c r="A5" t="s">
        <v>59</v>
      </c>
      <c r="B5">
        <v>33311122200</v>
      </c>
      <c r="C5" s="55">
        <v>1122334445</v>
      </c>
      <c r="D5" s="18" t="s">
        <v>60</v>
      </c>
      <c r="E5" s="24">
        <v>37021</v>
      </c>
    </row>
  </sheetData>
  <hyperlinks>
    <hyperlink ref="D2" r:id="rId1" xr:uid="{372C137C-D755-4E05-BF19-71659AE33BC4}"/>
    <hyperlink ref="D3" r:id="rId2" xr:uid="{EA5315FB-F6B9-40A3-920B-13DE31D68250}"/>
    <hyperlink ref="D4" r:id="rId3" xr:uid="{B78C7411-1BC3-4663-BABA-93705C1621D1}"/>
    <hyperlink ref="D5" r:id="rId4" xr:uid="{4CBE298D-7DF5-47CB-AB3E-3BCFAFFD3D66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dimension ref="A1:R18"/>
  <sheetViews>
    <sheetView tabSelected="1" workbookViewId="0">
      <pane xSplit="24" ySplit="32" topLeftCell="Y69" activePane="bottomRight" state="frozen"/>
      <selection pane="topRight" activeCell="Y1" sqref="Y1"/>
      <selection pane="bottomLeft" activeCell="A33" sqref="A33"/>
      <selection pane="bottomRight" activeCell="K25" sqref="K25"/>
    </sheetView>
  </sheetViews>
  <sheetFormatPr defaultRowHeight="15" x14ac:dyDescent="0.25"/>
  <cols>
    <col min="1" max="1" width="13.5703125" style="4" customWidth="1"/>
    <col min="2" max="2" width="3.140625" customWidth="1"/>
    <col min="3" max="3" width="2.7109375" customWidth="1"/>
    <col min="4" max="4" width="11.5703125" bestFit="1" customWidth="1"/>
    <col min="5" max="5" width="2" customWidth="1"/>
    <col min="6" max="6" width="18" bestFit="1" customWidth="1"/>
    <col min="7" max="7" width="15.140625" bestFit="1" customWidth="1"/>
    <col min="8" max="8" width="9.5703125" bestFit="1" customWidth="1"/>
    <col min="9" max="9" width="2.42578125" customWidth="1"/>
    <col min="10" max="10" width="18" bestFit="1" customWidth="1"/>
    <col min="11" max="11" width="19.7109375" bestFit="1" customWidth="1"/>
    <col min="12" max="12" width="14" bestFit="1" customWidth="1"/>
    <col min="13" max="13" width="5" customWidth="1"/>
    <col min="14" max="14" width="21.7109375" bestFit="1" customWidth="1"/>
    <col min="15" max="15" width="14.85546875" customWidth="1"/>
    <col min="16" max="16" width="15.140625" bestFit="1" customWidth="1"/>
    <col min="17" max="17" width="17" bestFit="1" customWidth="1"/>
    <col min="18" max="18" width="2.5703125" customWidth="1"/>
  </cols>
  <sheetData>
    <row r="1" spans="1:18" ht="54" customHeight="1" x14ac:dyDescent="0.2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54"/>
    </row>
    <row r="2" spans="1:18" ht="18.75" x14ac:dyDescent="0.3">
      <c r="A2" s="15"/>
      <c r="B2" s="1"/>
      <c r="C2" s="20"/>
      <c r="D2" s="52" t="s">
        <v>39</v>
      </c>
      <c r="E2" s="20"/>
      <c r="F2" s="71" t="s">
        <v>25</v>
      </c>
      <c r="G2" s="71"/>
      <c r="H2" s="71"/>
      <c r="I2" s="20"/>
      <c r="J2" s="71" t="s">
        <v>54</v>
      </c>
      <c r="K2" s="71"/>
      <c r="L2" s="71"/>
      <c r="M2" s="20"/>
      <c r="N2" s="71" t="s">
        <v>56</v>
      </c>
      <c r="O2" s="71"/>
      <c r="P2" s="71"/>
      <c r="Q2" s="71"/>
      <c r="R2" s="54"/>
    </row>
    <row r="3" spans="1:18" ht="18.75" x14ac:dyDescent="0.3">
      <c r="A3" s="16" t="s">
        <v>0</v>
      </c>
      <c r="B3" s="1"/>
      <c r="C3" s="20"/>
      <c r="D3" s="53">
        <f>COUNTA('DADOS CLIENTES'!A2:A1048576)</f>
        <v>4</v>
      </c>
      <c r="E3" s="20"/>
      <c r="F3" s="50" t="s">
        <v>35</v>
      </c>
      <c r="G3" s="50" t="s">
        <v>34</v>
      </c>
      <c r="I3" s="20"/>
      <c r="J3" s="50" t="s">
        <v>37</v>
      </c>
      <c r="K3" s="50" t="s">
        <v>36</v>
      </c>
      <c r="L3" t="s">
        <v>53</v>
      </c>
      <c r="M3" s="20"/>
      <c r="N3" s="50" t="s">
        <v>7</v>
      </c>
      <c r="O3" s="50" t="s">
        <v>35</v>
      </c>
      <c r="P3" s="50" t="s">
        <v>34</v>
      </c>
      <c r="Q3" t="s">
        <v>58</v>
      </c>
      <c r="R3" s="54"/>
    </row>
    <row r="4" spans="1:18" ht="15.75" x14ac:dyDescent="0.25">
      <c r="A4" s="15"/>
      <c r="B4" s="1"/>
      <c r="C4" s="20"/>
      <c r="D4" s="20"/>
      <c r="E4" s="20"/>
      <c r="F4" t="s">
        <v>44</v>
      </c>
      <c r="G4" t="s">
        <v>41</v>
      </c>
      <c r="I4" s="20"/>
      <c r="J4" t="s">
        <v>44</v>
      </c>
      <c r="K4" t="s">
        <v>41</v>
      </c>
      <c r="L4" s="51">
        <v>60</v>
      </c>
      <c r="M4" s="20"/>
      <c r="N4" t="s">
        <v>21</v>
      </c>
      <c r="O4" t="s">
        <v>44</v>
      </c>
      <c r="P4" t="s">
        <v>42</v>
      </c>
      <c r="Q4" s="51">
        <v>240</v>
      </c>
      <c r="R4" s="54"/>
    </row>
    <row r="5" spans="1:18" ht="18.75" x14ac:dyDescent="0.25">
      <c r="A5" s="19" t="s">
        <v>38</v>
      </c>
      <c r="B5" s="1"/>
      <c r="C5" s="20"/>
      <c r="D5" s="20"/>
      <c r="E5" s="20"/>
      <c r="G5" t="s">
        <v>42</v>
      </c>
      <c r="I5" s="20"/>
      <c r="K5" t="s">
        <v>42</v>
      </c>
      <c r="L5" s="51">
        <v>161.42857142857144</v>
      </c>
      <c r="M5" s="20"/>
      <c r="N5" t="s">
        <v>23</v>
      </c>
      <c r="O5" t="s">
        <v>44</v>
      </c>
      <c r="P5" t="s">
        <v>41</v>
      </c>
      <c r="Q5" s="51">
        <v>360</v>
      </c>
      <c r="R5" s="54"/>
    </row>
    <row r="6" spans="1:18" ht="15.75" x14ac:dyDescent="0.25">
      <c r="A6" s="16"/>
      <c r="B6" s="1"/>
      <c r="C6" s="20"/>
      <c r="D6" s="20"/>
      <c r="E6" s="20"/>
      <c r="G6" t="s">
        <v>43</v>
      </c>
      <c r="I6" s="20"/>
      <c r="K6" t="s">
        <v>43</v>
      </c>
      <c r="L6" s="51">
        <v>211.42857142857144</v>
      </c>
      <c r="M6" s="20"/>
      <c r="N6" t="s">
        <v>22</v>
      </c>
      <c r="O6" t="s">
        <v>44</v>
      </c>
      <c r="P6" t="s">
        <v>43</v>
      </c>
      <c r="Q6" s="51">
        <v>250</v>
      </c>
      <c r="R6" s="54"/>
    </row>
    <row r="7" spans="1:18" ht="15.75" x14ac:dyDescent="0.25">
      <c r="A7" s="16" t="s">
        <v>1</v>
      </c>
      <c r="B7" s="1"/>
      <c r="C7" s="20"/>
      <c r="D7" s="20"/>
      <c r="E7" s="20"/>
      <c r="G7" t="s">
        <v>46</v>
      </c>
      <c r="I7" s="20"/>
      <c r="K7" t="s">
        <v>45</v>
      </c>
      <c r="L7" s="51">
        <v>211.42857142857144</v>
      </c>
      <c r="M7" s="20"/>
      <c r="N7" t="s">
        <v>59</v>
      </c>
      <c r="O7" t="s">
        <v>44</v>
      </c>
      <c r="P7" t="s">
        <v>42</v>
      </c>
      <c r="Q7" s="51">
        <v>774.28571428571433</v>
      </c>
      <c r="R7" s="54"/>
    </row>
    <row r="8" spans="1:18" x14ac:dyDescent="0.25">
      <c r="A8" s="17"/>
      <c r="B8" s="1"/>
      <c r="C8" s="20"/>
      <c r="D8" s="20"/>
      <c r="E8" s="20"/>
      <c r="F8" t="s">
        <v>40</v>
      </c>
      <c r="H8" s="20"/>
      <c r="I8" s="20"/>
      <c r="K8" t="s">
        <v>46</v>
      </c>
      <c r="L8" s="51">
        <v>230.17857142857144</v>
      </c>
      <c r="M8" s="20"/>
      <c r="P8" t="s">
        <v>46</v>
      </c>
      <c r="Q8" s="51">
        <v>187.5</v>
      </c>
      <c r="R8" s="54"/>
    </row>
    <row r="9" spans="1:18" ht="15.75" x14ac:dyDescent="0.25">
      <c r="A9" s="16" t="s">
        <v>29</v>
      </c>
      <c r="B9" s="1"/>
      <c r="C9" s="20"/>
      <c r="D9" s="20"/>
      <c r="E9" s="20"/>
      <c r="F9" s="20"/>
      <c r="G9" s="20"/>
      <c r="H9" s="20"/>
      <c r="I9" s="20"/>
      <c r="K9" t="s">
        <v>47</v>
      </c>
      <c r="L9" s="51">
        <v>230.17857142857144</v>
      </c>
      <c r="M9" s="20"/>
      <c r="N9" t="s">
        <v>40</v>
      </c>
      <c r="Q9" s="51">
        <v>1811.7857142857142</v>
      </c>
      <c r="R9" s="54"/>
    </row>
    <row r="10" spans="1:18" x14ac:dyDescent="0.25">
      <c r="A10" s="17"/>
      <c r="B10" s="1"/>
      <c r="C10" s="20"/>
      <c r="D10" s="20"/>
      <c r="E10" s="20"/>
      <c r="F10" s="20"/>
      <c r="G10" s="20"/>
      <c r="H10" s="20"/>
      <c r="I10" s="20"/>
      <c r="K10" t="s">
        <v>48</v>
      </c>
      <c r="L10" s="51">
        <v>170.17857142857144</v>
      </c>
      <c r="M10" s="20"/>
      <c r="N10" s="20"/>
      <c r="O10" s="20"/>
      <c r="P10" s="20"/>
      <c r="Q10" s="20"/>
      <c r="R10" s="54"/>
    </row>
    <row r="11" spans="1:18" ht="15.75" x14ac:dyDescent="0.25">
      <c r="A11" s="16" t="s">
        <v>55</v>
      </c>
      <c r="B11" s="1"/>
      <c r="C11" s="20"/>
      <c r="D11" s="20"/>
      <c r="E11" s="20"/>
      <c r="F11" s="20"/>
      <c r="G11" s="20"/>
      <c r="H11" s="20"/>
      <c r="I11" s="20"/>
      <c r="K11" t="s">
        <v>49</v>
      </c>
      <c r="L11" s="51">
        <v>120.17857142857143</v>
      </c>
      <c r="M11" s="20"/>
      <c r="N11" s="20"/>
      <c r="O11" s="20"/>
      <c r="P11" s="20"/>
      <c r="Q11" s="20"/>
      <c r="R11" s="54"/>
    </row>
    <row r="12" spans="1:18" x14ac:dyDescent="0.25">
      <c r="A12" s="17"/>
      <c r="B12" s="1"/>
      <c r="C12" s="20"/>
      <c r="D12" s="20"/>
      <c r="E12" s="20"/>
      <c r="F12" s="20"/>
      <c r="G12" s="20"/>
      <c r="H12" s="20"/>
      <c r="I12" s="20"/>
      <c r="K12" t="s">
        <v>50</v>
      </c>
      <c r="L12" s="51">
        <v>120.17857142857143</v>
      </c>
      <c r="M12" s="20"/>
      <c r="N12" s="20"/>
      <c r="O12" s="20"/>
      <c r="P12" s="20"/>
      <c r="Q12" s="20"/>
      <c r="R12" s="54"/>
    </row>
    <row r="13" spans="1:18" x14ac:dyDescent="0.25">
      <c r="A13" s="13"/>
      <c r="B13" s="1"/>
      <c r="C13" s="20"/>
      <c r="D13" s="20"/>
      <c r="E13" s="20"/>
      <c r="F13" s="20"/>
      <c r="G13" s="20"/>
      <c r="H13" s="20"/>
      <c r="I13" s="20"/>
      <c r="K13" t="s">
        <v>51</v>
      </c>
      <c r="L13" s="51">
        <v>120.17857142857143</v>
      </c>
      <c r="M13" s="20"/>
      <c r="N13" s="20"/>
      <c r="O13" s="20"/>
      <c r="P13" s="20"/>
      <c r="Q13" s="20"/>
      <c r="R13" s="54"/>
    </row>
    <row r="14" spans="1:18" x14ac:dyDescent="0.25">
      <c r="A14" s="13"/>
      <c r="B14" s="1"/>
      <c r="C14" s="20"/>
      <c r="D14" s="20"/>
      <c r="E14" s="20"/>
      <c r="F14" s="20"/>
      <c r="G14" s="20"/>
      <c r="H14" s="20"/>
      <c r="I14" s="20"/>
      <c r="K14" t="s">
        <v>52</v>
      </c>
      <c r="L14" s="51">
        <v>120.17857142857143</v>
      </c>
      <c r="M14" s="20"/>
      <c r="N14" s="20"/>
      <c r="O14" s="20"/>
      <c r="P14" s="20"/>
      <c r="Q14" s="20"/>
      <c r="R14" s="54"/>
    </row>
    <row r="15" spans="1:18" x14ac:dyDescent="0.25">
      <c r="A15" s="13"/>
      <c r="B15" s="1"/>
      <c r="C15" s="20"/>
      <c r="D15" s="20"/>
      <c r="E15" s="20"/>
      <c r="F15" s="20"/>
      <c r="G15" s="20"/>
      <c r="H15" s="20"/>
      <c r="I15" s="20"/>
      <c r="K15" t="s">
        <v>64</v>
      </c>
      <c r="L15" s="51">
        <v>18.75</v>
      </c>
      <c r="M15" s="20"/>
      <c r="N15" s="20"/>
      <c r="O15" s="20"/>
      <c r="P15" s="20"/>
      <c r="Q15" s="20"/>
      <c r="R15" s="54"/>
    </row>
    <row r="16" spans="1:18" x14ac:dyDescent="0.25">
      <c r="A16" s="13"/>
      <c r="B16" s="1"/>
      <c r="C16" s="20"/>
      <c r="D16" s="20"/>
      <c r="E16" s="20"/>
      <c r="F16" s="20"/>
      <c r="G16" s="20"/>
      <c r="H16" s="20"/>
      <c r="I16" s="20"/>
      <c r="J16" t="s">
        <v>65</v>
      </c>
      <c r="K16" t="s">
        <v>41</v>
      </c>
      <c r="L16" s="51">
        <v>18.75</v>
      </c>
      <c r="M16" s="20"/>
      <c r="N16" s="20"/>
      <c r="O16" s="20"/>
      <c r="P16" s="20"/>
      <c r="Q16" s="20"/>
      <c r="R16" s="54"/>
    </row>
    <row r="17" spans="1:18" x14ac:dyDescent="0.25">
      <c r="A17" s="13"/>
      <c r="B17" s="1"/>
      <c r="C17" s="20"/>
      <c r="D17" s="20"/>
      <c r="E17" s="20"/>
      <c r="F17" s="20"/>
      <c r="G17" s="20"/>
      <c r="H17" s="20"/>
      <c r="I17" s="20"/>
      <c r="K17" t="s">
        <v>42</v>
      </c>
      <c r="L17" s="51">
        <v>18.75</v>
      </c>
      <c r="M17" s="20"/>
      <c r="N17" s="20"/>
      <c r="O17" s="20"/>
      <c r="P17" s="20"/>
      <c r="Q17" s="20"/>
      <c r="R17" s="54"/>
    </row>
    <row r="18" spans="1:18" x14ac:dyDescent="0.25">
      <c r="A18" s="13"/>
      <c r="B18" s="1"/>
      <c r="C18" s="20"/>
      <c r="D18" s="20"/>
      <c r="E18" s="20"/>
      <c r="F18" s="20"/>
      <c r="G18" s="20"/>
      <c r="H18" s="20"/>
      <c r="I18" s="20"/>
      <c r="J18" t="s">
        <v>40</v>
      </c>
      <c r="L18" s="51">
        <v>1811.7857142857142</v>
      </c>
      <c r="M18" s="20"/>
      <c r="N18" s="20"/>
      <c r="O18" s="20"/>
      <c r="P18" s="20"/>
      <c r="Q18" s="20"/>
      <c r="R18" s="54"/>
    </row>
  </sheetData>
  <mergeCells count="3">
    <mergeCell ref="F2:H2"/>
    <mergeCell ref="J2:L2"/>
    <mergeCell ref="N2:Q2"/>
  </mergeCells>
  <phoneticPr fontId="15" type="noConversion"/>
  <hyperlinks>
    <hyperlink ref="A3" location="CADASTRO!A1" display="Cadastro" xr:uid="{2C89FF91-83E8-4B9B-889C-FD3D9079626E}"/>
    <hyperlink ref="A9" location="SERVIÇOS!A1" display="Serviços" xr:uid="{8D60A9CD-DD5D-46B2-AF0C-188A65C5E65B}"/>
    <hyperlink ref="A5" location="RESUMOS!A1" display="RESUMOS" xr:uid="{6EDA8684-53A2-4B35-ADB6-22CD01D77E25}"/>
  </hyperlinks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CADASTRO</vt:lpstr>
      <vt:lpstr>SERVIÇOS</vt:lpstr>
      <vt:lpstr>DADOS VENDAS</vt:lpstr>
      <vt:lpstr>DADOS CLIENTES</vt:lpstr>
      <vt:lpstr>RESUMOS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2023-06-23T08:51:17Z</dcterms:modified>
</cp:coreProperties>
</file>