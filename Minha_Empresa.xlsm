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B98EEA2A-4246-46C1-AE87-7FF4E5DA17EA}" xr6:coauthVersionLast="47" xr6:coauthVersionMax="47" xr10:uidLastSave="{00000000-0000-0000-0000-000000000000}"/>
  <bookViews>
    <workbookView showSheetTabs="0" xWindow="-120" yWindow="-120" windowWidth="29040" windowHeight="15840" tabRatio="865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VENDAS'!$A$1:$M$246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</definedNames>
  <calcPr calcId="191029"/>
  <pivotCaches>
    <pivotCache cacheId="19" r:id="rId10"/>
    <pivotCache cacheId="3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7" l="1"/>
  <c r="F2" i="7"/>
  <c r="E3" i="7"/>
  <c r="F3" i="7"/>
  <c r="E4" i="7"/>
  <c r="F4" i="7"/>
  <c r="E5" i="7"/>
  <c r="F5" i="7"/>
  <c r="E6" i="7"/>
  <c r="F6" i="7"/>
  <c r="E7" i="7"/>
  <c r="F7" i="7"/>
  <c r="E8" i="7"/>
  <c r="F8" i="7"/>
  <c r="E9" i="7"/>
  <c r="F9" i="7"/>
  <c r="E10" i="7"/>
  <c r="F10" i="7"/>
  <c r="E11" i="7"/>
  <c r="F11" i="7"/>
  <c r="E13" i="7"/>
  <c r="F13" i="7"/>
  <c r="F12" i="7"/>
  <c r="E12" i="7"/>
  <c r="G7" i="2"/>
  <c r="G8" i="2" s="1"/>
  <c r="U3" i="2" s="1"/>
  <c r="F8" i="2"/>
  <c r="C6" i="2"/>
  <c r="C8" i="2"/>
  <c r="C10" i="2"/>
  <c r="C12" i="2"/>
  <c r="H7" i="2"/>
  <c r="L4" i="2"/>
  <c r="F10" i="2" s="1"/>
  <c r="Q2" i="10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<sst xmlns="http://schemas.openxmlformats.org/spreadsheetml/2006/main" count="1873" uniqueCount="106">
  <si>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</si>
  <si>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</si>
  <si>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</si>
  <si>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</si>
  <si>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</si>
  <si>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</si>
  <si>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</si>
  <si>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</si>
  <si>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</si>
  <si>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</si>
  <si>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</si>
  <si>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</si>
  <si>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</si>
  <si>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</si>
  <si>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</si>
  <si>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</si>
  <si>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</si>
  <si>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</si>
  <si>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</si>
  <si>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</si>
  <si>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</si>
  <si>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</si>
  <si>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</si>
  <si>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</si>
  <si>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</si>
  <si>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</si>
  <si>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</si>
  <si>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</si>
  <si>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</si>
  <si>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</si>
  <si>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</si>
  <si>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</si>
  <si>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</si>
  <si>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</si>
  <si>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</si>
  <si>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</si>
  <si>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</si>
  <si>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</si>
  <si>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</si>
  <si>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</si>
  <si>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</si>
  <si>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</si>
  <si>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</si>
  <si>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</si>
  <si>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</si>
  <si>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</si>
  <si>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</si>
  <si>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</si>
  <si>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</si>
  <si>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</si>
  <si>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</si>
  <si>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</si>
  <si>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</si>
  <si>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</si>
  <si>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</si>
  <si>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</si>
  <si>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</si>
  <si>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</si>
  <si>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</si>
  <si>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</si>
  <si>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</si>
  <si>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</si>
  <si>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</si>
  <si>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</si>
  <si>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</si>
  <si>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</si>
  <si>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</si>
  <si>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</si>
  <si>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</si>
  <si>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</si>
  <si>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</si>
  <si>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</si>
  <si>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</si>
  <si>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</si>
  <si>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</si>
  <si>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</si>
  <si>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</si>
  <si>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</si>
  <si>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</si>
  <si>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</si>
  <si>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</si>
  <si>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</si>
  <si>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</si>
  <si>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outra coisa</t>
  </si>
  <si>
    <t>rtetey</t>
  </si>
  <si>
    <t>de nco</t>
  </si>
  <si>
    <t>devlaos</t>
  </si>
  <si>
    <t/>
  </si>
  <si>
    <t>desvanieo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</si>
  <si>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</si>
  <si>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</si>
  <si>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</si>
  <si>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</si>
  <si>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</si>
  <si>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</si>
  <si>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</si>
  <si>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</si>
  <si>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VIAGEM</t>
  </si>
  <si>
    <t>JARDIM</t>
  </si>
  <si>
    <t>Soma de VALOR PARCELA</t>
  </si>
  <si>
    <t>VALOR DOS DOS SERVICOS</t>
  </si>
  <si>
    <t>MÊS SERVICO</t>
  </si>
  <si>
    <t>ANO SERVICO</t>
  </si>
  <si>
    <t>SERVICO</t>
  </si>
  <si>
    <t>Soma de COMISSÃO</t>
  </si>
  <si>
    <t>CABIDE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</si>
</sst>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7" borderId="0" xfId="0" applyFill="1"/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44" fontId="10" fillId="0" borderId="28" xfId="0" applyNumberFormat="1" applyFont="1" applyBorder="1" applyAlignment="1">
      <alignment horizontal="left" vertical="center"/>
    </xf>
    <xf numFmtId="44" fontId="6" fillId="4" borderId="29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164" fontId="0" fillId="6" borderId="23" xfId="0" applyNumberFormat="1" applyFill="1" applyBorder="1" applyAlignment="1">
      <alignment horizontal="left" vertical="center"/>
    </xf>
    <xf numFmtId="0" fontId="0" fillId="6" borderId="25" xfId="0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7" borderId="14" xfId="0" applyFill="1" applyBorder="1" applyAlignment="1">
      <alignment horizontal="center"/>
    </xf>
    <xf numFmtId="0" fontId="0" fillId="7" borderId="30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14" fontId="0" fillId="7" borderId="0" xfId="0" applyNumberFormat="1" applyFill="1"/>
    <xf numFmtId="14" fontId="0" fillId="7" borderId="14" xfId="0" applyNumberForma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44" fontId="0" fillId="7" borderId="14" xfId="1" applyFont="1" applyFill="1" applyBorder="1"/>
    <xf numFmtId="44" fontId="0" fillId="7" borderId="0" xfId="1" applyFont="1" applyFill="1" applyBorder="1"/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6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44" fontId="0" fillId="0" borderId="31" xfId="0" applyNumberFormat="1" applyBorder="1"/>
    <xf numFmtId="44" fontId="0" fillId="0" borderId="32" xfId="0" applyNumberFormat="1" applyBorder="1"/>
    <xf numFmtId="0" fontId="0" fillId="0" borderId="24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4" xfId="0" applyBorder="1"/>
    <xf numFmtId="0" fontId="0" fillId="0" borderId="31" xfId="0" applyBorder="1"/>
    <xf numFmtId="0" fontId="0" fillId="0" borderId="33" xfId="0" applyBorder="1"/>
    <xf numFmtId="0" fontId="0" fillId="0" borderId="24" xfId="0" pivotButton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0" fillId="0" borderId="31" xfId="0" applyNumberFormat="1" applyBorder="1" applyAlignment="1">
      <alignment horizontal="center" vertical="center"/>
    </xf>
    <xf numFmtId="44" fontId="0" fillId="0" borderId="32" xfId="0" applyNumberFormat="1" applyBorder="1" applyAlignment="1">
      <alignment horizontal="center" vertical="center"/>
    </xf>
    <xf numFmtId="44" fontId="18" fillId="0" borderId="33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4" xfId="0" pivotButton="1" applyBorder="1"/>
    <xf numFmtId="14" fontId="0" fillId="0" borderId="31" xfId="0" applyNumberFormat="1" applyBorder="1" applyAlignment="1">
      <alignment horizontal="center"/>
    </xf>
    <xf numFmtId="14" fontId="0" fillId="0" borderId="32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2" xfId="0" applyBorder="1"/>
    <xf numFmtId="44" fontId="17" fillId="0" borderId="33" xfId="0" applyNumberFormat="1" applyFont="1" applyBorder="1"/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7" borderId="34" xfId="0" applyFill="1" applyBorder="1"/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7" borderId="0" xfId="0" applyFill="1" applyBorder="1"/>
    <xf numFmtId="14" fontId="0" fillId="7" borderId="0" xfId="0" applyNumberFormat="1" applyFill="1" applyBorder="1" applyAlignment="1">
      <alignment horizontal="center"/>
    </xf>
    <xf numFmtId="14" fontId="0" fillId="7" borderId="0" xfId="0" applyNumberFormat="1" applyFill="1" applyBorder="1"/>
    <xf numFmtId="0" fontId="0" fillId="7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0" fillId="5" borderId="4" xfId="0" applyFill="1" applyBorder="1" applyAlignment="1" applyProtection="1">
      <alignment horizontal="left" vertical="center"/>
      <protection locked="0"/>
    </xf>
    <xf numFmtId="0" fontId="0" fillId="6" borderId="19" xfId="0" applyFill="1" applyBorder="1" applyAlignment="1" applyProtection="1">
      <alignment vertical="center"/>
      <protection locked="0"/>
    </xf>
    <xf numFmtId="0" fontId="0" fillId="4" borderId="27" xfId="0" applyFill="1" applyBorder="1" applyAlignment="1" applyProtection="1">
      <alignment horizontal="left" vertical="center"/>
      <protection locked="0"/>
    </xf>
    <xf numFmtId="14" fontId="0" fillId="4" borderId="28" xfId="0" applyNumberFormat="1" applyFill="1" applyBorder="1" applyAlignment="1" applyProtection="1">
      <alignment horizontal="left" vertical="center"/>
      <protection locked="0"/>
    </xf>
    <xf numFmtId="44" fontId="6" fillId="4" borderId="28" xfId="1" applyFont="1" applyFill="1" applyBorder="1" applyAlignment="1" applyProtection="1">
      <alignment horizontal="left" vertical="center"/>
      <protection locked="0"/>
    </xf>
    <xf numFmtId="0" fontId="0" fillId="4" borderId="28" xfId="0" applyFill="1" applyBorder="1" applyAlignment="1" applyProtection="1">
      <alignment horizontal="center" vertical="center"/>
      <protection locked="0"/>
    </xf>
    <xf numFmtId="0" fontId="0" fillId="6" borderId="0" xfId="0" applyFill="1" applyBorder="1"/>
    <xf numFmtId="0" fontId="14" fillId="6" borderId="0" xfId="0" applyFont="1" applyFill="1" applyBorder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47"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3</xdr:row>
      <xdr:rowOff>85725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57152</xdr:colOff>
      <xdr:row>1</xdr:row>
      <xdr:rowOff>19050</xdr:rowOff>
    </xdr:from>
    <xdr:to>
      <xdr:col>6</xdr:col>
      <xdr:colOff>962026</xdr:colOff>
      <xdr:row>4</xdr:row>
      <xdr:rowOff>28575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19902" y="219075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196704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190354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149225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130175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6.27408865741" createdVersion="8" refreshedVersion="8" minRefreshableVersion="3" recordCount="13" xr:uid="{1A54CCBD-93F6-4711-AEA5-D48CE85FE5CD}">
  <cacheSource type="worksheet">
    <worksheetSource ref="A1:F1048576" sheet="COMISSÕES"/>
  </cacheSource>
  <cacheFields count="6">
    <cacheField name="NOME" numFmtId="0">
      <sharedItems containsBlank="1" count="6">
        <s v="Adriane de Carvalho Gomes"/>
        <s v="Menina das Flores"/>
        <s v="Beatriz Leite Júnior"/>
        <s v="Carolina Codeceira"/>
        <s v="Alon Pinheiro"/>
        <m/>
      </sharedItems>
    </cacheField>
    <cacheField name="SERVICO" numFmtId="0">
      <sharedItems containsBlank="1" count="3">
        <s v="CABIDE"/>
        <s v="JARDIM"/>
        <m/>
      </sharedItems>
    </cacheField>
    <cacheField name="DATA SERVIÇO" numFmtId="0">
      <sharedItems containsNonDate="0" containsDate="1" containsString="0" containsBlank="1" minDate="2023-01-12T00:00:00" maxDate="2024-04-06T00:00:00"/>
    </cacheField>
    <cacheField name="COMISSÃO" numFmtId="0">
      <sharedItems containsString="0" containsBlank="1" containsNumber="1" minValue="32" maxValue="1570.8000000000002"/>
    </cacheField>
    <cacheField name="MÊS SERVICO" numFmtId="0">
      <sharedItems containsString="0" containsBlank="1" containsNumber="1" containsInteger="1" minValue="1" maxValue="9" count="6">
        <n v="4"/>
        <n v="3"/>
        <n v="9"/>
        <n v="7"/>
        <n v="1"/>
        <m/>
      </sharedItems>
    </cacheField>
    <cacheField name="ANO SERVICO" numFmtId="0">
      <sharedItems containsString="0" containsBlank="1" containsNumber="1" containsInteger="1" minValue="2023" maxValue="2024" count="3">
        <n v="2023"/>
        <n v="2024"/>
        <m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06.274834837961" createdVersion="8" refreshedVersion="8" minRefreshableVersion="3" recordCount="246" xr:uid="{5DA872E5-8AB0-4F23-A78F-3FB68F4D8A65}">
  <cacheSource type="worksheet">
    <worksheetSource ref="A1:M1048576" sheet="DADOS VENDAS"/>
  </cacheSource>
  <cacheFields count="13">
    <cacheField name="NOME" numFmtId="0">
      <sharedItems containsBlank="1" count="9">
        <s v="SICRANO DA SILVA"/>
        <s v="Marcela de Freitas"/>
        <s v="JOAO NINGUEM"/>
        <s v="Isabella Ronfini"/>
        <s v="Bruna dos Santos Gomes"/>
        <s v="Beatriz Leite Júnior"/>
        <s v="Matheus de Souza  "/>
        <s v=""/>
        <m/>
      </sharedItems>
    </cacheField>
    <cacheField name="CPF" numFmtId="0">
      <sharedItems containsBlank="1" containsMixedTypes="1" containsNumber="1" containsInteger="1" minValue="7303330974" maxValue="3030303030303"/>
    </cacheField>
    <cacheField name="SERVIÇO" numFmtId="0">
      <sharedItems containsBlank="1" count="10">
        <s v="VIAGEM"/>
        <s v="CABIDE"/>
        <s v="rtetey"/>
        <s v="outra coisa"/>
        <s v="JARDIM"/>
        <s v="de nco"/>
        <s v="desvanieo"/>
        <s v="devlaos"/>
        <s v=""/>
        <m/>
      </sharedItems>
    </cacheField>
    <cacheField name="DATA SERVIÇO" numFmtId="14">
      <sharedItems containsDate="1" containsBlank="1" containsMixedTypes="1" minDate="2022-02-14T00:00:00" maxDate="2024-06-01T00:00:00" count="10">
        <d v="2024-05-31T00:00:00"/>
        <d v="2023-04-30T00:00:00"/>
        <d v="2022-02-14T00:00:00"/>
        <d v="2023-04-21T00:00:00"/>
        <d v="2024-04-05T00:00:00"/>
        <d v="2023-04-12T00:00:00"/>
        <d v="2023-03-15T00:00:00"/>
        <d v="2023-03-05T00:00:00"/>
        <s v=""/>
        <m/>
      </sharedItems>
    </cacheField>
    <cacheField name="PAGAMENTO" numFmtId="14">
      <sharedItems containsDate="1" containsBlank="1" containsMixedTypes="1" minDate="2022-03-14T00:00:00" maxDate="2025-01-31T00:00:00" count="74">
        <d v="2024-06-30T00:00:00"/>
        <d v="2024-07-30T00:00:00"/>
        <d v="2024-08-30T00:00:00"/>
        <d v="2024-09-30T00:00:00"/>
        <d v="2024-10-30T00:00:00"/>
        <d v="2024-11-30T00:00:00"/>
        <d v="2024-12-30T00:00:00"/>
        <d v="2025-01-30T00:00:00"/>
        <d v="2023-05-30T00:00:00"/>
        <d v="2023-06-30T00:00:00"/>
        <d v="2023-07-30T00:00:00"/>
        <d v="2023-08-30T00:00:00"/>
        <d v="2023-09-30T00:00:00"/>
        <d v="2023-10-30T00:00:00"/>
        <d v="2023-11-30T00:00:00"/>
        <d v="2023-12-30T00:00:00"/>
        <d v="2022-03-14T00:00:00"/>
        <d v="2022-04-14T00:00:00"/>
        <d v="2022-05-14T00:00:00"/>
        <d v="2022-06-14T00:00:00"/>
        <d v="2022-07-14T00:00:00"/>
        <d v="2022-08-14T00:00:00"/>
        <d v="2022-09-14T00:00:00"/>
        <d v="2022-10-14T00:00:00"/>
        <d v="2022-11-14T00:00:00"/>
        <d v="2022-12-14T00:00:00"/>
        <d v="2023-01-14T00:00:00"/>
        <d v="2023-02-14T00:00:00"/>
        <d v="2023-05-21T00:00:00"/>
        <d v="2023-06-21T00:00:00"/>
        <d v="2023-07-21T00:00:00"/>
        <d v="2023-08-21T00:00:00"/>
        <d v="2023-09-21T00:00:00"/>
        <d v="2023-10-21T00:00:00"/>
        <d v="2023-11-21T00:00:00"/>
        <d v="2023-12-21T00:00:00"/>
        <d v="2024-01-21T00:00:00"/>
        <d v="2024-02-21T00:00:00"/>
        <d v="2024-03-21T00:00:00"/>
        <d v="2024-04-21T00:00:00"/>
        <d v="2024-05-05T00:00:00"/>
        <d v="2024-06-05T00:00:00"/>
        <d v="2024-07-05T00:00:00"/>
        <d v="2024-08-05T00:00:00"/>
        <d v="2024-09-05T00:00:00"/>
        <d v="2024-10-05T00:00:00"/>
        <d v="2024-11-05T00:00:00"/>
        <d v="2024-12-05T00:00:00"/>
        <d v="2023-05-12T00:00:00"/>
        <d v="2023-06-12T00:00:00"/>
        <d v="2023-07-12T00:00:00"/>
        <d v="2023-08-12T00:00:00"/>
        <d v="2023-09-12T00:00:00"/>
        <d v="2023-10-12T00:00:00"/>
        <d v="2023-11-12T00:00:00"/>
        <d v="2023-04-15T00:00:00"/>
        <d v="2023-05-15T00:00:00"/>
        <d v="2023-06-15T00:00:00"/>
        <d v="2023-07-15T00:00:00"/>
        <d v="2023-08-15T00:00:00"/>
        <d v="2023-10-15T00:00:00"/>
        <d v="2023-11-15T00:00:00"/>
        <d v="2023-12-15T00:00:00"/>
        <d v="2024-01-15T00:00:00"/>
        <d v="2023-04-05T00:00:00"/>
        <d v="2023-05-05T00:00:00"/>
        <d v="2023-06-05T00:00:00"/>
        <d v="2023-07-05T00:00:00"/>
        <d v="2023-08-05T00:00:00"/>
        <d v="2023-09-05T00:00:00"/>
        <d v="2023-10-05T00:00:00"/>
        <d v="2023-11-05T00:00:00"/>
        <s v=""/>
        <m/>
      </sharedItems>
    </cacheField>
    <cacheField name="VALOR SERVIÇO" numFmtId="44">
      <sharedItems containsBlank="1" containsMixedTypes="1" containsNumber="1" containsInteger="1" minValue="320" maxValue="5621"/>
    </cacheField>
    <cacheField name="PARCELAS" numFmtId="0">
      <sharedItems containsBlank="1" containsMixedTypes="1" containsNumber="1" containsInteger="1" minValue="3" maxValue="12" count="9">
        <n v="8"/>
        <n v="12"/>
        <n v="7"/>
        <n v="10"/>
        <n v="4"/>
        <n v="3"/>
        <n v="5"/>
        <s v=""/>
        <m/>
      </sharedItems>
    </cacheField>
    <cacheField name="N_PARCELA" numFmtId="0">
      <sharedItems containsBlank="1" containsMixedTypes="1" containsNumber="1" containsInteger="1" minValue="1" maxValue="12" count="14">
        <n v="1"/>
        <n v="2"/>
        <n v="3"/>
        <n v="4"/>
        <n v="5"/>
        <n v="6"/>
        <n v="7"/>
        <n v="8"/>
        <n v="9"/>
        <n v="10"/>
        <n v="11"/>
        <n v="12"/>
        <s v=""/>
        <m/>
      </sharedItems>
    </cacheField>
    <cacheField name="VALOR PARCELA" numFmtId="44">
      <sharedItems containsBlank="1" containsMixedTypes="1" containsNumber="1" minValue="40" maxValue="803"/>
    </cacheField>
    <cacheField name="MÊS SERVIÇO" numFmtId="0">
      <sharedItems containsBlank="1" containsMixedTypes="1" containsNumber="1" containsInteger="1" minValue="2" maxValue="5" count="6">
        <n v="5"/>
        <n v="4"/>
        <n v="2"/>
        <n v="3"/>
        <s v=""/>
        <m/>
      </sharedItems>
    </cacheField>
    <cacheField name="ANO SERVIÇO" numFmtId="0">
      <sharedItems containsBlank="1" containsMixedTypes="1" containsNumber="1" containsInteger="1" minValue="2022" maxValue="2024" count="5">
        <n v="2024"/>
        <n v="2023"/>
        <n v="2022"/>
        <s v=""/>
        <m/>
      </sharedItems>
    </cacheField>
    <cacheField name="MÊS PAGAMENTO" numFmtId="0">
      <sharedItems containsBlank="1" containsMixedTypes="1" containsNumber="1" containsInteger="1" minValue="1" maxValue="12" count="14">
        <n v="6"/>
        <n v="7"/>
        <n v="8"/>
        <n v="9"/>
        <n v="10"/>
        <n v="11"/>
        <n v="12"/>
        <n v="1"/>
        <n v="5"/>
        <n v="3"/>
        <n v="4"/>
        <n v="2"/>
        <s v=""/>
        <m/>
      </sharedItems>
    </cacheField>
    <cacheField name="ANO PAGAMENTO" numFmtId="0">
      <sharedItems containsBlank="1" containsMixedTypes="1" containsNumber="1" containsInteger="1" minValue="2022" maxValue="2025" count="6">
        <n v="2024"/>
        <n v="2025"/>
        <n v="2023"/>
        <n v="2022"/>
        <s v=""/>
        <m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d v="2023-04-30T00:00:00"/>
    <n v="32"/>
    <x v="0"/>
    <x v="0"/>
  </r>
  <r>
    <x v="0"/>
    <x v="0"/>
    <d v="2023-04-30T00:00:00"/>
    <n v="32"/>
    <x v="0"/>
    <x v="0"/>
  </r>
  <r>
    <x v="0"/>
    <x v="0"/>
    <d v="2023-04-30T00:00:00"/>
    <n v="32"/>
    <x v="0"/>
    <x v="0"/>
  </r>
  <r>
    <x v="1"/>
    <x v="1"/>
    <d v="2024-04-05T00:00:00"/>
    <n v="1570.8000000000002"/>
    <x v="0"/>
    <x v="1"/>
  </r>
  <r>
    <x v="1"/>
    <x v="1"/>
    <d v="2024-04-05T00:00:00"/>
    <n v="1570.8000000000002"/>
    <x v="0"/>
    <x v="1"/>
  </r>
  <r>
    <x v="1"/>
    <x v="1"/>
    <d v="2023-03-05T00:00:00"/>
    <n v="1570.8000000000002"/>
    <x v="1"/>
    <x v="0"/>
  </r>
  <r>
    <x v="2"/>
    <x v="1"/>
    <d v="2023-09-12T00:00:00"/>
    <n v="999.59999999999991"/>
    <x v="2"/>
    <x v="0"/>
  </r>
  <r>
    <x v="3"/>
    <x v="1"/>
    <d v="2023-07-12T00:00:00"/>
    <n v="142.80000000000001"/>
    <x v="3"/>
    <x v="0"/>
  </r>
  <r>
    <x v="3"/>
    <x v="1"/>
    <d v="2023-04-21T00:00:00"/>
    <n v="142.80000000000001"/>
    <x v="0"/>
    <x v="0"/>
  </r>
  <r>
    <x v="4"/>
    <x v="2"/>
    <d v="2023-04-21T00:00:00"/>
    <n v="428.4"/>
    <x v="0"/>
    <x v="0"/>
  </r>
  <r>
    <x v="0"/>
    <x v="2"/>
    <d v="2023-01-12T00:00:00"/>
    <n v="35"/>
    <x v="4"/>
    <x v="0"/>
  </r>
  <r>
    <x v="0"/>
    <x v="2"/>
    <d v="2023-01-12T00:00:00"/>
    <n v="53"/>
    <x v="4"/>
    <x v="0"/>
  </r>
  <r>
    <x v="5"/>
    <x v="2"/>
    <m/>
    <m/>
    <x v="5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0"/>
    <n v="202020202020"/>
    <x v="0"/>
    <x v="0"/>
    <x v="0"/>
    <n v="564"/>
    <x v="0"/>
    <x v="0"/>
    <n v="70.5"/>
    <x v="0"/>
    <x v="0"/>
    <x v="0"/>
    <x v="0"/>
  </r>
  <r>
    <x v="0"/>
    <n v="202020202020"/>
    <x v="0"/>
    <x v="0"/>
    <x v="1"/>
    <n v="564"/>
    <x v="0"/>
    <x v="1"/>
    <n v="70.5"/>
    <x v="0"/>
    <x v="0"/>
    <x v="1"/>
    <x v="0"/>
  </r>
  <r>
    <x v="0"/>
    <n v="202020202020"/>
    <x v="0"/>
    <x v="0"/>
    <x v="2"/>
    <n v="564"/>
    <x v="0"/>
    <x v="2"/>
    <n v="70.5"/>
    <x v="0"/>
    <x v="0"/>
    <x v="2"/>
    <x v="0"/>
  </r>
  <r>
    <x v="0"/>
    <n v="202020202020"/>
    <x v="0"/>
    <x v="0"/>
    <x v="3"/>
    <n v="564"/>
    <x v="0"/>
    <x v="3"/>
    <n v="70.5"/>
    <x v="0"/>
    <x v="0"/>
    <x v="3"/>
    <x v="0"/>
  </r>
  <r>
    <x v="0"/>
    <n v="202020202020"/>
    <x v="0"/>
    <x v="0"/>
    <x v="4"/>
    <n v="564"/>
    <x v="0"/>
    <x v="4"/>
    <n v="70.5"/>
    <x v="0"/>
    <x v="0"/>
    <x v="4"/>
    <x v="0"/>
  </r>
  <r>
    <x v="0"/>
    <n v="202020202020"/>
    <x v="0"/>
    <x v="0"/>
    <x v="5"/>
    <n v="564"/>
    <x v="0"/>
    <x v="5"/>
    <n v="70.5"/>
    <x v="0"/>
    <x v="0"/>
    <x v="5"/>
    <x v="0"/>
  </r>
  <r>
    <x v="0"/>
    <n v="202020202020"/>
    <x v="0"/>
    <x v="0"/>
    <x v="6"/>
    <n v="564"/>
    <x v="0"/>
    <x v="6"/>
    <n v="70.5"/>
    <x v="0"/>
    <x v="0"/>
    <x v="6"/>
    <x v="0"/>
  </r>
  <r>
    <x v="0"/>
    <n v="202020202020"/>
    <x v="0"/>
    <x v="0"/>
    <x v="7"/>
    <n v="564"/>
    <x v="0"/>
    <x v="7"/>
    <n v="70.5"/>
    <x v="0"/>
    <x v="0"/>
    <x v="7"/>
    <x v="1"/>
  </r>
  <r>
    <x v="1"/>
    <n v="14074531754"/>
    <x v="1"/>
    <x v="1"/>
    <x v="8"/>
    <n v="320"/>
    <x v="0"/>
    <x v="0"/>
    <n v="40"/>
    <x v="1"/>
    <x v="1"/>
    <x v="8"/>
    <x v="2"/>
  </r>
  <r>
    <x v="1"/>
    <n v="14074531754"/>
    <x v="1"/>
    <x v="1"/>
    <x v="9"/>
    <n v="320"/>
    <x v="0"/>
    <x v="1"/>
    <n v="40"/>
    <x v="1"/>
    <x v="1"/>
    <x v="0"/>
    <x v="2"/>
  </r>
  <r>
    <x v="1"/>
    <n v="14074531754"/>
    <x v="1"/>
    <x v="1"/>
    <x v="10"/>
    <n v="320"/>
    <x v="0"/>
    <x v="2"/>
    <n v="40"/>
    <x v="1"/>
    <x v="1"/>
    <x v="1"/>
    <x v="2"/>
  </r>
  <r>
    <x v="1"/>
    <n v="14074531754"/>
    <x v="1"/>
    <x v="1"/>
    <x v="11"/>
    <n v="320"/>
    <x v="0"/>
    <x v="3"/>
    <n v="40"/>
    <x v="1"/>
    <x v="1"/>
    <x v="2"/>
    <x v="2"/>
  </r>
  <r>
    <x v="1"/>
    <n v="14074531754"/>
    <x v="1"/>
    <x v="1"/>
    <x v="12"/>
    <n v="320"/>
    <x v="0"/>
    <x v="4"/>
    <n v="40"/>
    <x v="1"/>
    <x v="1"/>
    <x v="3"/>
    <x v="2"/>
  </r>
  <r>
    <x v="1"/>
    <n v="14074531754"/>
    <x v="1"/>
    <x v="1"/>
    <x v="13"/>
    <n v="320"/>
    <x v="0"/>
    <x v="5"/>
    <n v="40"/>
    <x v="1"/>
    <x v="1"/>
    <x v="4"/>
    <x v="2"/>
  </r>
  <r>
    <x v="1"/>
    <n v="14074531754"/>
    <x v="1"/>
    <x v="1"/>
    <x v="14"/>
    <n v="320"/>
    <x v="0"/>
    <x v="6"/>
    <n v="40"/>
    <x v="1"/>
    <x v="1"/>
    <x v="5"/>
    <x v="2"/>
  </r>
  <r>
    <x v="1"/>
    <n v="14074531754"/>
    <x v="1"/>
    <x v="1"/>
    <x v="15"/>
    <n v="320"/>
    <x v="0"/>
    <x v="7"/>
    <n v="40"/>
    <x v="1"/>
    <x v="1"/>
    <x v="6"/>
    <x v="2"/>
  </r>
  <r>
    <x v="1"/>
    <n v="14074531754"/>
    <x v="1"/>
    <x v="1"/>
    <x v="8"/>
    <n v="320"/>
    <x v="0"/>
    <x v="0"/>
    <n v="40"/>
    <x v="1"/>
    <x v="1"/>
    <x v="8"/>
    <x v="2"/>
  </r>
  <r>
    <x v="1"/>
    <n v="14074531754"/>
    <x v="1"/>
    <x v="1"/>
    <x v="9"/>
    <n v="320"/>
    <x v="0"/>
    <x v="1"/>
    <n v="40"/>
    <x v="1"/>
    <x v="1"/>
    <x v="0"/>
    <x v="2"/>
  </r>
  <r>
    <x v="1"/>
    <n v="14074531754"/>
    <x v="1"/>
    <x v="1"/>
    <x v="10"/>
    <n v="320"/>
    <x v="0"/>
    <x v="2"/>
    <n v="40"/>
    <x v="1"/>
    <x v="1"/>
    <x v="1"/>
    <x v="2"/>
  </r>
  <r>
    <x v="1"/>
    <n v="14074531754"/>
    <x v="1"/>
    <x v="1"/>
    <x v="11"/>
    <n v="320"/>
    <x v="0"/>
    <x v="3"/>
    <n v="40"/>
    <x v="1"/>
    <x v="1"/>
    <x v="2"/>
    <x v="2"/>
  </r>
  <r>
    <x v="1"/>
    <n v="14074531754"/>
    <x v="1"/>
    <x v="1"/>
    <x v="12"/>
    <n v="320"/>
    <x v="0"/>
    <x v="4"/>
    <n v="40"/>
    <x v="1"/>
    <x v="1"/>
    <x v="3"/>
    <x v="2"/>
  </r>
  <r>
    <x v="1"/>
    <n v="14074531754"/>
    <x v="1"/>
    <x v="1"/>
    <x v="13"/>
    <n v="320"/>
    <x v="0"/>
    <x v="5"/>
    <n v="40"/>
    <x v="1"/>
    <x v="1"/>
    <x v="4"/>
    <x v="2"/>
  </r>
  <r>
    <x v="1"/>
    <n v="14074531754"/>
    <x v="1"/>
    <x v="1"/>
    <x v="14"/>
    <n v="320"/>
    <x v="0"/>
    <x v="6"/>
    <n v="40"/>
    <x v="1"/>
    <x v="1"/>
    <x v="5"/>
    <x v="2"/>
  </r>
  <r>
    <x v="1"/>
    <n v="14074531754"/>
    <x v="1"/>
    <x v="1"/>
    <x v="15"/>
    <n v="320"/>
    <x v="0"/>
    <x v="7"/>
    <n v="40"/>
    <x v="1"/>
    <x v="1"/>
    <x v="6"/>
    <x v="2"/>
  </r>
  <r>
    <x v="1"/>
    <n v="14074531754"/>
    <x v="1"/>
    <x v="1"/>
    <x v="8"/>
    <n v="320"/>
    <x v="0"/>
    <x v="0"/>
    <n v="40"/>
    <x v="1"/>
    <x v="1"/>
    <x v="8"/>
    <x v="2"/>
  </r>
  <r>
    <x v="1"/>
    <n v="14074531754"/>
    <x v="1"/>
    <x v="1"/>
    <x v="9"/>
    <n v="320"/>
    <x v="0"/>
    <x v="1"/>
    <n v="40"/>
    <x v="1"/>
    <x v="1"/>
    <x v="0"/>
    <x v="2"/>
  </r>
  <r>
    <x v="1"/>
    <n v="14074531754"/>
    <x v="1"/>
    <x v="1"/>
    <x v="10"/>
    <n v="320"/>
    <x v="0"/>
    <x v="2"/>
    <n v="40"/>
    <x v="1"/>
    <x v="1"/>
    <x v="1"/>
    <x v="2"/>
  </r>
  <r>
    <x v="1"/>
    <n v="14074531754"/>
    <x v="1"/>
    <x v="1"/>
    <x v="11"/>
    <n v="320"/>
    <x v="0"/>
    <x v="3"/>
    <n v="40"/>
    <x v="1"/>
    <x v="1"/>
    <x v="2"/>
    <x v="2"/>
  </r>
  <r>
    <x v="1"/>
    <n v="14074531754"/>
    <x v="1"/>
    <x v="1"/>
    <x v="12"/>
    <n v="320"/>
    <x v="0"/>
    <x v="4"/>
    <n v="40"/>
    <x v="1"/>
    <x v="1"/>
    <x v="3"/>
    <x v="2"/>
  </r>
  <r>
    <x v="1"/>
    <n v="14074531754"/>
    <x v="1"/>
    <x v="1"/>
    <x v="13"/>
    <n v="320"/>
    <x v="0"/>
    <x v="5"/>
    <n v="40"/>
    <x v="1"/>
    <x v="1"/>
    <x v="4"/>
    <x v="2"/>
  </r>
  <r>
    <x v="1"/>
    <n v="14074531754"/>
    <x v="1"/>
    <x v="1"/>
    <x v="14"/>
    <n v="320"/>
    <x v="0"/>
    <x v="6"/>
    <n v="40"/>
    <x v="1"/>
    <x v="1"/>
    <x v="5"/>
    <x v="2"/>
  </r>
  <r>
    <x v="1"/>
    <n v="14074531754"/>
    <x v="1"/>
    <x v="1"/>
    <x v="15"/>
    <n v="320"/>
    <x v="0"/>
    <x v="7"/>
    <n v="40"/>
    <x v="1"/>
    <x v="1"/>
    <x v="6"/>
    <x v="2"/>
  </r>
  <r>
    <x v="2"/>
    <n v="3030303030303"/>
    <x v="2"/>
    <x v="2"/>
    <x v="16"/>
    <n v="5621"/>
    <x v="1"/>
    <x v="0"/>
    <n v="468.41666666666669"/>
    <x v="2"/>
    <x v="2"/>
    <x v="9"/>
    <x v="3"/>
  </r>
  <r>
    <x v="2"/>
    <n v="3030303030303"/>
    <x v="2"/>
    <x v="2"/>
    <x v="17"/>
    <n v="5621"/>
    <x v="1"/>
    <x v="1"/>
    <n v="468.41666666666669"/>
    <x v="2"/>
    <x v="2"/>
    <x v="10"/>
    <x v="3"/>
  </r>
  <r>
    <x v="2"/>
    <n v="3030303030303"/>
    <x v="2"/>
    <x v="2"/>
    <x v="18"/>
    <n v="5621"/>
    <x v="1"/>
    <x v="2"/>
    <n v="468.41666666666669"/>
    <x v="2"/>
    <x v="2"/>
    <x v="8"/>
    <x v="3"/>
  </r>
  <r>
    <x v="2"/>
    <n v="3030303030303"/>
    <x v="2"/>
    <x v="2"/>
    <x v="19"/>
    <n v="5621"/>
    <x v="1"/>
    <x v="3"/>
    <n v="468.41666666666669"/>
    <x v="2"/>
    <x v="2"/>
    <x v="0"/>
    <x v="3"/>
  </r>
  <r>
    <x v="2"/>
    <n v="3030303030303"/>
    <x v="2"/>
    <x v="2"/>
    <x v="20"/>
    <n v="5621"/>
    <x v="1"/>
    <x v="4"/>
    <n v="468.41666666666669"/>
    <x v="2"/>
    <x v="2"/>
    <x v="1"/>
    <x v="3"/>
  </r>
  <r>
    <x v="2"/>
    <n v="3030303030303"/>
    <x v="2"/>
    <x v="2"/>
    <x v="21"/>
    <n v="5621"/>
    <x v="1"/>
    <x v="5"/>
    <n v="468.41666666666669"/>
    <x v="2"/>
    <x v="2"/>
    <x v="2"/>
    <x v="3"/>
  </r>
  <r>
    <x v="2"/>
    <n v="3030303030303"/>
    <x v="2"/>
    <x v="2"/>
    <x v="22"/>
    <n v="5621"/>
    <x v="1"/>
    <x v="6"/>
    <n v="468.41666666666669"/>
    <x v="2"/>
    <x v="2"/>
    <x v="3"/>
    <x v="3"/>
  </r>
  <r>
    <x v="2"/>
    <n v="3030303030303"/>
    <x v="2"/>
    <x v="2"/>
    <x v="23"/>
    <n v="5621"/>
    <x v="1"/>
    <x v="7"/>
    <n v="468.41666666666669"/>
    <x v="2"/>
    <x v="2"/>
    <x v="4"/>
    <x v="3"/>
  </r>
  <r>
    <x v="2"/>
    <n v="3030303030303"/>
    <x v="2"/>
    <x v="2"/>
    <x v="24"/>
    <n v="5621"/>
    <x v="1"/>
    <x v="8"/>
    <n v="468.41666666666669"/>
    <x v="2"/>
    <x v="2"/>
    <x v="5"/>
    <x v="3"/>
  </r>
  <r>
    <x v="2"/>
    <n v="3030303030303"/>
    <x v="2"/>
    <x v="2"/>
    <x v="25"/>
    <n v="5621"/>
    <x v="1"/>
    <x v="9"/>
    <n v="468.41666666666669"/>
    <x v="2"/>
    <x v="2"/>
    <x v="6"/>
    <x v="3"/>
  </r>
  <r>
    <x v="2"/>
    <n v="3030303030303"/>
    <x v="2"/>
    <x v="2"/>
    <x v="26"/>
    <n v="5621"/>
    <x v="1"/>
    <x v="10"/>
    <n v="468.41666666666669"/>
    <x v="2"/>
    <x v="2"/>
    <x v="7"/>
    <x v="2"/>
  </r>
  <r>
    <x v="2"/>
    <n v="3030303030303"/>
    <x v="2"/>
    <x v="2"/>
    <x v="27"/>
    <n v="5621"/>
    <x v="1"/>
    <x v="11"/>
    <n v="468.41666666666669"/>
    <x v="2"/>
    <x v="2"/>
    <x v="11"/>
    <x v="2"/>
  </r>
  <r>
    <x v="3"/>
    <n v="13365514967"/>
    <x v="3"/>
    <x v="2"/>
    <x v="16"/>
    <n v="5621"/>
    <x v="2"/>
    <x v="0"/>
    <n v="803"/>
    <x v="2"/>
    <x v="2"/>
    <x v="9"/>
    <x v="3"/>
  </r>
  <r>
    <x v="3"/>
    <n v="13365514967"/>
    <x v="3"/>
    <x v="2"/>
    <x v="17"/>
    <n v="5621"/>
    <x v="2"/>
    <x v="1"/>
    <n v="803"/>
    <x v="2"/>
    <x v="2"/>
    <x v="10"/>
    <x v="3"/>
  </r>
  <r>
    <x v="3"/>
    <n v="13365514967"/>
    <x v="3"/>
    <x v="2"/>
    <x v="18"/>
    <n v="5621"/>
    <x v="2"/>
    <x v="2"/>
    <n v="803"/>
    <x v="2"/>
    <x v="2"/>
    <x v="8"/>
    <x v="3"/>
  </r>
  <r>
    <x v="3"/>
    <n v="13365514967"/>
    <x v="3"/>
    <x v="2"/>
    <x v="19"/>
    <n v="5621"/>
    <x v="2"/>
    <x v="3"/>
    <n v="803"/>
    <x v="2"/>
    <x v="2"/>
    <x v="0"/>
    <x v="3"/>
  </r>
  <r>
    <x v="3"/>
    <n v="13365514967"/>
    <x v="3"/>
    <x v="2"/>
    <x v="20"/>
    <n v="5621"/>
    <x v="2"/>
    <x v="4"/>
    <n v="803"/>
    <x v="2"/>
    <x v="2"/>
    <x v="1"/>
    <x v="3"/>
  </r>
  <r>
    <x v="3"/>
    <n v="13365514967"/>
    <x v="3"/>
    <x v="2"/>
    <x v="21"/>
    <n v="5621"/>
    <x v="2"/>
    <x v="5"/>
    <n v="803"/>
    <x v="2"/>
    <x v="2"/>
    <x v="2"/>
    <x v="3"/>
  </r>
  <r>
    <x v="3"/>
    <n v="13365514967"/>
    <x v="3"/>
    <x v="2"/>
    <x v="22"/>
    <n v="5621"/>
    <x v="2"/>
    <x v="6"/>
    <n v="803"/>
    <x v="2"/>
    <x v="2"/>
    <x v="3"/>
    <x v="3"/>
  </r>
  <r>
    <x v="4"/>
    <n v="7303330974"/>
    <x v="4"/>
    <x v="3"/>
    <x v="28"/>
    <n v="2856"/>
    <x v="1"/>
    <x v="0"/>
    <n v="238"/>
    <x v="1"/>
    <x v="1"/>
    <x v="8"/>
    <x v="2"/>
  </r>
  <r>
    <x v="4"/>
    <n v="7303330974"/>
    <x v="4"/>
    <x v="3"/>
    <x v="29"/>
    <n v="2856"/>
    <x v="1"/>
    <x v="1"/>
    <n v="238"/>
    <x v="1"/>
    <x v="1"/>
    <x v="0"/>
    <x v="2"/>
  </r>
  <r>
    <x v="4"/>
    <n v="7303330974"/>
    <x v="4"/>
    <x v="3"/>
    <x v="30"/>
    <n v="2856"/>
    <x v="1"/>
    <x v="2"/>
    <n v="238"/>
    <x v="1"/>
    <x v="1"/>
    <x v="1"/>
    <x v="2"/>
  </r>
  <r>
    <x v="4"/>
    <n v="7303330974"/>
    <x v="4"/>
    <x v="3"/>
    <x v="31"/>
    <n v="2856"/>
    <x v="1"/>
    <x v="3"/>
    <n v="238"/>
    <x v="1"/>
    <x v="1"/>
    <x v="2"/>
    <x v="2"/>
  </r>
  <r>
    <x v="4"/>
    <n v="7303330974"/>
    <x v="4"/>
    <x v="3"/>
    <x v="32"/>
    <n v="2856"/>
    <x v="1"/>
    <x v="4"/>
    <n v="238"/>
    <x v="1"/>
    <x v="1"/>
    <x v="3"/>
    <x v="2"/>
  </r>
  <r>
    <x v="4"/>
    <n v="7303330974"/>
    <x v="4"/>
    <x v="3"/>
    <x v="33"/>
    <n v="2856"/>
    <x v="1"/>
    <x v="5"/>
    <n v="238"/>
    <x v="1"/>
    <x v="1"/>
    <x v="4"/>
    <x v="2"/>
  </r>
  <r>
    <x v="4"/>
    <n v="7303330974"/>
    <x v="4"/>
    <x v="3"/>
    <x v="34"/>
    <n v="2856"/>
    <x v="1"/>
    <x v="6"/>
    <n v="238"/>
    <x v="1"/>
    <x v="1"/>
    <x v="5"/>
    <x v="2"/>
  </r>
  <r>
    <x v="4"/>
    <n v="7303330974"/>
    <x v="4"/>
    <x v="3"/>
    <x v="35"/>
    <n v="2856"/>
    <x v="1"/>
    <x v="7"/>
    <n v="238"/>
    <x v="1"/>
    <x v="1"/>
    <x v="6"/>
    <x v="2"/>
  </r>
  <r>
    <x v="4"/>
    <n v="7303330974"/>
    <x v="4"/>
    <x v="3"/>
    <x v="36"/>
    <n v="2856"/>
    <x v="1"/>
    <x v="8"/>
    <n v="238"/>
    <x v="1"/>
    <x v="1"/>
    <x v="7"/>
    <x v="0"/>
  </r>
  <r>
    <x v="4"/>
    <n v="7303330974"/>
    <x v="4"/>
    <x v="3"/>
    <x v="37"/>
    <n v="2856"/>
    <x v="1"/>
    <x v="9"/>
    <n v="238"/>
    <x v="1"/>
    <x v="1"/>
    <x v="11"/>
    <x v="0"/>
  </r>
  <r>
    <x v="4"/>
    <n v="7303330974"/>
    <x v="4"/>
    <x v="3"/>
    <x v="38"/>
    <n v="2856"/>
    <x v="1"/>
    <x v="10"/>
    <n v="238"/>
    <x v="1"/>
    <x v="1"/>
    <x v="9"/>
    <x v="0"/>
  </r>
  <r>
    <x v="4"/>
    <n v="7303330974"/>
    <x v="4"/>
    <x v="3"/>
    <x v="39"/>
    <n v="2856"/>
    <x v="1"/>
    <x v="11"/>
    <n v="238"/>
    <x v="1"/>
    <x v="1"/>
    <x v="10"/>
    <x v="0"/>
  </r>
  <r>
    <x v="4"/>
    <n v="7303330974"/>
    <x v="5"/>
    <x v="2"/>
    <x v="16"/>
    <n v="1000"/>
    <x v="3"/>
    <x v="0"/>
    <n v="100"/>
    <x v="2"/>
    <x v="2"/>
    <x v="9"/>
    <x v="3"/>
  </r>
  <r>
    <x v="4"/>
    <n v="7303330974"/>
    <x v="5"/>
    <x v="2"/>
    <x v="17"/>
    <n v="1000"/>
    <x v="3"/>
    <x v="1"/>
    <n v="100"/>
    <x v="2"/>
    <x v="2"/>
    <x v="10"/>
    <x v="3"/>
  </r>
  <r>
    <x v="4"/>
    <n v="7303330974"/>
    <x v="5"/>
    <x v="2"/>
    <x v="18"/>
    <n v="1000"/>
    <x v="3"/>
    <x v="2"/>
    <n v="100"/>
    <x v="2"/>
    <x v="2"/>
    <x v="8"/>
    <x v="3"/>
  </r>
  <r>
    <x v="4"/>
    <n v="7303330974"/>
    <x v="5"/>
    <x v="2"/>
    <x v="19"/>
    <n v="1000"/>
    <x v="3"/>
    <x v="3"/>
    <n v="100"/>
    <x v="2"/>
    <x v="2"/>
    <x v="0"/>
    <x v="3"/>
  </r>
  <r>
    <x v="4"/>
    <n v="7303330974"/>
    <x v="5"/>
    <x v="2"/>
    <x v="20"/>
    <n v="1000"/>
    <x v="3"/>
    <x v="4"/>
    <n v="100"/>
    <x v="2"/>
    <x v="2"/>
    <x v="1"/>
    <x v="3"/>
  </r>
  <r>
    <x v="4"/>
    <n v="7303330974"/>
    <x v="5"/>
    <x v="2"/>
    <x v="21"/>
    <n v="1000"/>
    <x v="3"/>
    <x v="5"/>
    <n v="100"/>
    <x v="2"/>
    <x v="2"/>
    <x v="2"/>
    <x v="3"/>
  </r>
  <r>
    <x v="4"/>
    <n v="7303330974"/>
    <x v="5"/>
    <x v="2"/>
    <x v="22"/>
    <n v="1000"/>
    <x v="3"/>
    <x v="6"/>
    <n v="100"/>
    <x v="2"/>
    <x v="2"/>
    <x v="3"/>
    <x v="3"/>
  </r>
  <r>
    <x v="4"/>
    <n v="7303330974"/>
    <x v="5"/>
    <x v="2"/>
    <x v="23"/>
    <n v="1000"/>
    <x v="3"/>
    <x v="7"/>
    <n v="100"/>
    <x v="2"/>
    <x v="2"/>
    <x v="4"/>
    <x v="3"/>
  </r>
  <r>
    <x v="4"/>
    <n v="7303330974"/>
    <x v="5"/>
    <x v="2"/>
    <x v="24"/>
    <n v="1000"/>
    <x v="3"/>
    <x v="8"/>
    <n v="100"/>
    <x v="2"/>
    <x v="2"/>
    <x v="5"/>
    <x v="3"/>
  </r>
  <r>
    <x v="4"/>
    <n v="7303330974"/>
    <x v="5"/>
    <x v="2"/>
    <x v="25"/>
    <n v="1000"/>
    <x v="3"/>
    <x v="9"/>
    <n v="100"/>
    <x v="2"/>
    <x v="2"/>
    <x v="6"/>
    <x v="3"/>
  </r>
  <r>
    <x v="4"/>
    <n v="7303330974"/>
    <x v="5"/>
    <x v="2"/>
    <x v="16"/>
    <n v="1000"/>
    <x v="1"/>
    <x v="0"/>
    <n v="83.333333333333329"/>
    <x v="2"/>
    <x v="2"/>
    <x v="9"/>
    <x v="3"/>
  </r>
  <r>
    <x v="4"/>
    <n v="7303330974"/>
    <x v="5"/>
    <x v="2"/>
    <x v="17"/>
    <n v="1000"/>
    <x v="1"/>
    <x v="1"/>
    <n v="83.333333333333329"/>
    <x v="2"/>
    <x v="2"/>
    <x v="10"/>
    <x v="3"/>
  </r>
  <r>
    <x v="4"/>
    <n v="7303330974"/>
    <x v="5"/>
    <x v="2"/>
    <x v="18"/>
    <n v="1000"/>
    <x v="1"/>
    <x v="2"/>
    <n v="83.333333333333329"/>
    <x v="2"/>
    <x v="2"/>
    <x v="8"/>
    <x v="3"/>
  </r>
  <r>
    <x v="4"/>
    <n v="7303330974"/>
    <x v="5"/>
    <x v="2"/>
    <x v="19"/>
    <n v="1000"/>
    <x v="1"/>
    <x v="3"/>
    <n v="83.333333333333329"/>
    <x v="2"/>
    <x v="2"/>
    <x v="0"/>
    <x v="3"/>
  </r>
  <r>
    <x v="4"/>
    <n v="7303330974"/>
    <x v="5"/>
    <x v="2"/>
    <x v="20"/>
    <n v="1000"/>
    <x v="1"/>
    <x v="4"/>
    <n v="83.333333333333329"/>
    <x v="2"/>
    <x v="2"/>
    <x v="1"/>
    <x v="3"/>
  </r>
  <r>
    <x v="4"/>
    <n v="7303330974"/>
    <x v="5"/>
    <x v="2"/>
    <x v="21"/>
    <n v="1000"/>
    <x v="1"/>
    <x v="5"/>
    <n v="83.333333333333329"/>
    <x v="2"/>
    <x v="2"/>
    <x v="2"/>
    <x v="3"/>
  </r>
  <r>
    <x v="4"/>
    <n v="7303330974"/>
    <x v="5"/>
    <x v="2"/>
    <x v="22"/>
    <n v="1000"/>
    <x v="1"/>
    <x v="6"/>
    <n v="83.333333333333329"/>
    <x v="2"/>
    <x v="2"/>
    <x v="3"/>
    <x v="3"/>
  </r>
  <r>
    <x v="4"/>
    <n v="7303330974"/>
    <x v="5"/>
    <x v="2"/>
    <x v="23"/>
    <n v="1000"/>
    <x v="1"/>
    <x v="7"/>
    <n v="83.333333333333329"/>
    <x v="2"/>
    <x v="2"/>
    <x v="4"/>
    <x v="3"/>
  </r>
  <r>
    <x v="4"/>
    <n v="7303330974"/>
    <x v="5"/>
    <x v="2"/>
    <x v="24"/>
    <n v="1000"/>
    <x v="1"/>
    <x v="8"/>
    <n v="83.333333333333329"/>
    <x v="2"/>
    <x v="2"/>
    <x v="5"/>
    <x v="3"/>
  </r>
  <r>
    <x v="4"/>
    <n v="7303330974"/>
    <x v="5"/>
    <x v="2"/>
    <x v="25"/>
    <n v="1000"/>
    <x v="1"/>
    <x v="9"/>
    <n v="83.333333333333329"/>
    <x v="2"/>
    <x v="2"/>
    <x v="6"/>
    <x v="3"/>
  </r>
  <r>
    <x v="4"/>
    <n v="7303330974"/>
    <x v="5"/>
    <x v="2"/>
    <x v="26"/>
    <n v="1000"/>
    <x v="1"/>
    <x v="10"/>
    <n v="83.333333333333329"/>
    <x v="2"/>
    <x v="2"/>
    <x v="7"/>
    <x v="2"/>
  </r>
  <r>
    <x v="4"/>
    <n v="7303330974"/>
    <x v="5"/>
    <x v="2"/>
    <x v="27"/>
    <n v="1000"/>
    <x v="1"/>
    <x v="11"/>
    <n v="83.333333333333329"/>
    <x v="2"/>
    <x v="2"/>
    <x v="11"/>
    <x v="2"/>
  </r>
  <r>
    <x v="4"/>
    <n v="7303330974"/>
    <x v="5"/>
    <x v="2"/>
    <x v="16"/>
    <n v="1000"/>
    <x v="4"/>
    <x v="0"/>
    <n v="250"/>
    <x v="2"/>
    <x v="2"/>
    <x v="9"/>
    <x v="3"/>
  </r>
  <r>
    <x v="4"/>
    <n v="7303330974"/>
    <x v="5"/>
    <x v="2"/>
    <x v="17"/>
    <n v="1000"/>
    <x v="4"/>
    <x v="1"/>
    <n v="250"/>
    <x v="2"/>
    <x v="2"/>
    <x v="10"/>
    <x v="3"/>
  </r>
  <r>
    <x v="4"/>
    <n v="7303330974"/>
    <x v="5"/>
    <x v="2"/>
    <x v="18"/>
    <n v="1000"/>
    <x v="4"/>
    <x v="2"/>
    <n v="250"/>
    <x v="2"/>
    <x v="2"/>
    <x v="8"/>
    <x v="3"/>
  </r>
  <r>
    <x v="4"/>
    <n v="7303330974"/>
    <x v="5"/>
    <x v="2"/>
    <x v="19"/>
    <n v="1000"/>
    <x v="4"/>
    <x v="3"/>
    <n v="250"/>
    <x v="2"/>
    <x v="2"/>
    <x v="0"/>
    <x v="3"/>
  </r>
  <r>
    <x v="4"/>
    <n v="7303330974"/>
    <x v="5"/>
    <x v="2"/>
    <x v="16"/>
    <n v="1000"/>
    <x v="5"/>
    <x v="0"/>
    <n v="333.33333333333331"/>
    <x v="2"/>
    <x v="2"/>
    <x v="9"/>
    <x v="3"/>
  </r>
  <r>
    <x v="4"/>
    <n v="7303330974"/>
    <x v="5"/>
    <x v="2"/>
    <x v="17"/>
    <n v="1000"/>
    <x v="5"/>
    <x v="1"/>
    <n v="333.33333333333331"/>
    <x v="2"/>
    <x v="2"/>
    <x v="10"/>
    <x v="3"/>
  </r>
  <r>
    <x v="4"/>
    <n v="7303330974"/>
    <x v="5"/>
    <x v="2"/>
    <x v="18"/>
    <n v="1000"/>
    <x v="5"/>
    <x v="2"/>
    <n v="333.33333333333331"/>
    <x v="2"/>
    <x v="2"/>
    <x v="8"/>
    <x v="3"/>
  </r>
  <r>
    <x v="5"/>
    <n v="13481923178"/>
    <x v="4"/>
    <x v="4"/>
    <x v="40"/>
    <n v="2856"/>
    <x v="0"/>
    <x v="0"/>
    <n v="357"/>
    <x v="1"/>
    <x v="0"/>
    <x v="8"/>
    <x v="0"/>
  </r>
  <r>
    <x v="5"/>
    <n v="13481923178"/>
    <x v="4"/>
    <x v="4"/>
    <x v="41"/>
    <n v="2856"/>
    <x v="0"/>
    <x v="1"/>
    <n v="357"/>
    <x v="1"/>
    <x v="0"/>
    <x v="0"/>
    <x v="0"/>
  </r>
  <r>
    <x v="5"/>
    <n v="13481923178"/>
    <x v="4"/>
    <x v="4"/>
    <x v="42"/>
    <n v="2856"/>
    <x v="0"/>
    <x v="2"/>
    <n v="357"/>
    <x v="1"/>
    <x v="0"/>
    <x v="1"/>
    <x v="0"/>
  </r>
  <r>
    <x v="5"/>
    <n v="13481923178"/>
    <x v="4"/>
    <x v="4"/>
    <x v="43"/>
    <n v="2856"/>
    <x v="0"/>
    <x v="3"/>
    <n v="357"/>
    <x v="1"/>
    <x v="0"/>
    <x v="2"/>
    <x v="0"/>
  </r>
  <r>
    <x v="5"/>
    <n v="13481923178"/>
    <x v="4"/>
    <x v="4"/>
    <x v="44"/>
    <n v="2856"/>
    <x v="0"/>
    <x v="4"/>
    <n v="357"/>
    <x v="1"/>
    <x v="0"/>
    <x v="3"/>
    <x v="0"/>
  </r>
  <r>
    <x v="5"/>
    <n v="13481923178"/>
    <x v="4"/>
    <x v="4"/>
    <x v="45"/>
    <n v="2856"/>
    <x v="0"/>
    <x v="5"/>
    <n v="357"/>
    <x v="1"/>
    <x v="0"/>
    <x v="4"/>
    <x v="0"/>
  </r>
  <r>
    <x v="5"/>
    <n v="13481923178"/>
    <x v="4"/>
    <x v="4"/>
    <x v="46"/>
    <n v="2856"/>
    <x v="0"/>
    <x v="6"/>
    <n v="357"/>
    <x v="1"/>
    <x v="0"/>
    <x v="5"/>
    <x v="0"/>
  </r>
  <r>
    <x v="5"/>
    <n v="13481923178"/>
    <x v="4"/>
    <x v="4"/>
    <x v="47"/>
    <n v="2856"/>
    <x v="0"/>
    <x v="7"/>
    <n v="357"/>
    <x v="1"/>
    <x v="0"/>
    <x v="6"/>
    <x v="0"/>
  </r>
  <r>
    <x v="0"/>
    <n v="202020202020"/>
    <x v="6"/>
    <x v="5"/>
    <x v="48"/>
    <n v="3500"/>
    <x v="2"/>
    <x v="0"/>
    <n v="500"/>
    <x v="1"/>
    <x v="1"/>
    <x v="8"/>
    <x v="2"/>
  </r>
  <r>
    <x v="0"/>
    <n v="202020202020"/>
    <x v="6"/>
    <x v="5"/>
    <x v="49"/>
    <n v="3500"/>
    <x v="2"/>
    <x v="1"/>
    <n v="500"/>
    <x v="1"/>
    <x v="1"/>
    <x v="0"/>
    <x v="2"/>
  </r>
  <r>
    <x v="0"/>
    <n v="202020202020"/>
    <x v="6"/>
    <x v="5"/>
    <x v="50"/>
    <n v="3500"/>
    <x v="2"/>
    <x v="2"/>
    <n v="500"/>
    <x v="1"/>
    <x v="1"/>
    <x v="1"/>
    <x v="2"/>
  </r>
  <r>
    <x v="0"/>
    <n v="202020202020"/>
    <x v="6"/>
    <x v="5"/>
    <x v="51"/>
    <n v="3500"/>
    <x v="2"/>
    <x v="3"/>
    <n v="500"/>
    <x v="1"/>
    <x v="1"/>
    <x v="2"/>
    <x v="2"/>
  </r>
  <r>
    <x v="0"/>
    <n v="202020202020"/>
    <x v="6"/>
    <x v="5"/>
    <x v="52"/>
    <n v="3500"/>
    <x v="2"/>
    <x v="4"/>
    <n v="500"/>
    <x v="1"/>
    <x v="1"/>
    <x v="3"/>
    <x v="2"/>
  </r>
  <r>
    <x v="0"/>
    <n v="202020202020"/>
    <x v="6"/>
    <x v="5"/>
    <x v="53"/>
    <n v="3500"/>
    <x v="2"/>
    <x v="5"/>
    <n v="500"/>
    <x v="1"/>
    <x v="1"/>
    <x v="4"/>
    <x v="2"/>
  </r>
  <r>
    <x v="0"/>
    <n v="202020202020"/>
    <x v="6"/>
    <x v="5"/>
    <x v="54"/>
    <n v="3500"/>
    <x v="2"/>
    <x v="6"/>
    <n v="500"/>
    <x v="1"/>
    <x v="1"/>
    <x v="5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55"/>
    <n v="1000"/>
    <x v="6"/>
    <x v="0"/>
    <n v="200"/>
    <x v="3"/>
    <x v="1"/>
    <x v="10"/>
    <x v="2"/>
  </r>
  <r>
    <x v="6"/>
    <n v="13616340129"/>
    <x v="7"/>
    <x v="6"/>
    <x v="56"/>
    <n v="1000"/>
    <x v="6"/>
    <x v="1"/>
    <n v="200"/>
    <x v="3"/>
    <x v="1"/>
    <x v="8"/>
    <x v="2"/>
  </r>
  <r>
    <x v="6"/>
    <n v="13616340129"/>
    <x v="7"/>
    <x v="6"/>
    <x v="57"/>
    <n v="1000"/>
    <x v="6"/>
    <x v="2"/>
    <n v="200"/>
    <x v="3"/>
    <x v="1"/>
    <x v="0"/>
    <x v="2"/>
  </r>
  <r>
    <x v="6"/>
    <n v="13616340129"/>
    <x v="7"/>
    <x v="6"/>
    <x v="58"/>
    <n v="1000"/>
    <x v="6"/>
    <x v="3"/>
    <n v="200"/>
    <x v="3"/>
    <x v="1"/>
    <x v="1"/>
    <x v="2"/>
  </r>
  <r>
    <x v="6"/>
    <n v="13616340129"/>
    <x v="7"/>
    <x v="6"/>
    <x v="59"/>
    <n v="1000"/>
    <x v="6"/>
    <x v="4"/>
    <n v="200"/>
    <x v="3"/>
    <x v="1"/>
    <x v="2"/>
    <x v="2"/>
  </r>
  <r>
    <x v="6"/>
    <n v="13616340129"/>
    <x v="7"/>
    <x v="6"/>
    <x v="60"/>
    <n v="1000"/>
    <x v="3"/>
    <x v="6"/>
    <n v="100"/>
    <x v="3"/>
    <x v="1"/>
    <x v="4"/>
    <x v="2"/>
  </r>
  <r>
    <x v="6"/>
    <n v="13616340129"/>
    <x v="7"/>
    <x v="6"/>
    <x v="61"/>
    <n v="1000"/>
    <x v="3"/>
    <x v="7"/>
    <n v="100"/>
    <x v="3"/>
    <x v="1"/>
    <x v="5"/>
    <x v="2"/>
  </r>
  <r>
    <x v="6"/>
    <n v="13616340129"/>
    <x v="7"/>
    <x v="6"/>
    <x v="62"/>
    <n v="1000"/>
    <x v="3"/>
    <x v="8"/>
    <n v="100"/>
    <x v="3"/>
    <x v="1"/>
    <x v="6"/>
    <x v="2"/>
  </r>
  <r>
    <x v="6"/>
    <n v="13616340129"/>
    <x v="7"/>
    <x v="6"/>
    <x v="63"/>
    <n v="1000"/>
    <x v="3"/>
    <x v="9"/>
    <n v="100"/>
    <x v="3"/>
    <x v="1"/>
    <x v="7"/>
    <x v="0"/>
  </r>
  <r>
    <x v="5"/>
    <n v="13481923178"/>
    <x v="4"/>
    <x v="4"/>
    <x v="40"/>
    <n v="2856"/>
    <x v="0"/>
    <x v="0"/>
    <n v="357"/>
    <x v="1"/>
    <x v="0"/>
    <x v="8"/>
    <x v="0"/>
  </r>
  <r>
    <x v="5"/>
    <n v="13481923178"/>
    <x v="4"/>
    <x v="4"/>
    <x v="41"/>
    <n v="2856"/>
    <x v="0"/>
    <x v="1"/>
    <n v="357"/>
    <x v="1"/>
    <x v="0"/>
    <x v="0"/>
    <x v="0"/>
  </r>
  <r>
    <x v="5"/>
    <n v="13481923178"/>
    <x v="4"/>
    <x v="4"/>
    <x v="42"/>
    <n v="2856"/>
    <x v="0"/>
    <x v="2"/>
    <n v="357"/>
    <x v="1"/>
    <x v="0"/>
    <x v="1"/>
    <x v="0"/>
  </r>
  <r>
    <x v="5"/>
    <n v="13481923178"/>
    <x v="4"/>
    <x v="4"/>
    <x v="43"/>
    <n v="2856"/>
    <x v="0"/>
    <x v="3"/>
    <n v="357"/>
    <x v="1"/>
    <x v="0"/>
    <x v="2"/>
    <x v="0"/>
  </r>
  <r>
    <x v="5"/>
    <n v="13481923178"/>
    <x v="4"/>
    <x v="4"/>
    <x v="44"/>
    <n v="2856"/>
    <x v="0"/>
    <x v="4"/>
    <n v="357"/>
    <x v="1"/>
    <x v="0"/>
    <x v="3"/>
    <x v="0"/>
  </r>
  <r>
    <x v="5"/>
    <n v="13481923178"/>
    <x v="4"/>
    <x v="4"/>
    <x v="45"/>
    <n v="2856"/>
    <x v="0"/>
    <x v="5"/>
    <n v="357"/>
    <x v="1"/>
    <x v="0"/>
    <x v="4"/>
    <x v="0"/>
  </r>
  <r>
    <x v="5"/>
    <n v="13481923178"/>
    <x v="4"/>
    <x v="4"/>
    <x v="46"/>
    <n v="2856"/>
    <x v="0"/>
    <x v="6"/>
    <n v="357"/>
    <x v="1"/>
    <x v="0"/>
    <x v="5"/>
    <x v="0"/>
  </r>
  <r>
    <x v="5"/>
    <n v="13481923178"/>
    <x v="4"/>
    <x v="4"/>
    <x v="47"/>
    <n v="2856"/>
    <x v="0"/>
    <x v="7"/>
    <n v="357"/>
    <x v="1"/>
    <x v="0"/>
    <x v="6"/>
    <x v="0"/>
  </r>
  <r>
    <x v="5"/>
    <n v="13481923178"/>
    <x v="4"/>
    <x v="7"/>
    <x v="64"/>
    <n v="2856"/>
    <x v="0"/>
    <x v="0"/>
    <n v="357"/>
    <x v="3"/>
    <x v="1"/>
    <x v="10"/>
    <x v="2"/>
  </r>
  <r>
    <x v="5"/>
    <n v="13481923178"/>
    <x v="4"/>
    <x v="7"/>
    <x v="65"/>
    <n v="2856"/>
    <x v="0"/>
    <x v="1"/>
    <n v="357"/>
    <x v="3"/>
    <x v="1"/>
    <x v="8"/>
    <x v="2"/>
  </r>
  <r>
    <x v="5"/>
    <n v="13481923178"/>
    <x v="4"/>
    <x v="7"/>
    <x v="66"/>
    <n v="2856"/>
    <x v="0"/>
    <x v="2"/>
    <n v="357"/>
    <x v="3"/>
    <x v="1"/>
    <x v="0"/>
    <x v="2"/>
  </r>
  <r>
    <x v="5"/>
    <n v="13481923178"/>
    <x v="4"/>
    <x v="7"/>
    <x v="67"/>
    <n v="2856"/>
    <x v="0"/>
    <x v="3"/>
    <n v="357"/>
    <x v="3"/>
    <x v="1"/>
    <x v="1"/>
    <x v="2"/>
  </r>
  <r>
    <x v="5"/>
    <n v="13481923178"/>
    <x v="4"/>
    <x v="7"/>
    <x v="68"/>
    <n v="2856"/>
    <x v="0"/>
    <x v="4"/>
    <n v="357"/>
    <x v="3"/>
    <x v="1"/>
    <x v="2"/>
    <x v="2"/>
  </r>
  <r>
    <x v="5"/>
    <n v="13481923178"/>
    <x v="4"/>
    <x v="7"/>
    <x v="69"/>
    <n v="2856"/>
    <x v="0"/>
    <x v="5"/>
    <n v="357"/>
    <x v="3"/>
    <x v="1"/>
    <x v="3"/>
    <x v="2"/>
  </r>
  <r>
    <x v="5"/>
    <n v="13481923178"/>
    <x v="4"/>
    <x v="7"/>
    <x v="70"/>
    <n v="2856"/>
    <x v="0"/>
    <x v="6"/>
    <n v="357"/>
    <x v="3"/>
    <x v="1"/>
    <x v="4"/>
    <x v="2"/>
  </r>
  <r>
    <x v="5"/>
    <n v="13481923178"/>
    <x v="4"/>
    <x v="7"/>
    <x v="71"/>
    <n v="2856"/>
    <x v="0"/>
    <x v="7"/>
    <n v="357"/>
    <x v="3"/>
    <x v="1"/>
    <x v="5"/>
    <x v="2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7"/>
    <s v=""/>
    <x v="8"/>
    <x v="8"/>
    <x v="72"/>
    <s v=""/>
    <x v="7"/>
    <x v="12"/>
    <s v=""/>
    <x v="4"/>
    <x v="3"/>
    <x v="12"/>
    <x v="4"/>
  </r>
  <r>
    <x v="8"/>
    <m/>
    <x v="9"/>
    <x v="9"/>
    <x v="73"/>
    <m/>
    <x v="8"/>
    <x v="13"/>
    <m/>
    <x v="5"/>
    <x v="4"/>
    <x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6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4">
        <item x="7"/>
        <item x="11"/>
        <item x="9"/>
        <item x="10"/>
        <item x="8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3"/>
        <item x="2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PAGAMENTOS" fld="8" baseField="3" baseItem="0" numFmtId="44"/>
  </dataFields>
  <formats count="25"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12" type="button" dataOnly="0" labelOnly="1" outline="0" axis="axisRow" fieldPosition="0"/>
    </format>
    <format dxfId="106">
      <pivotArea dataOnly="0" labelOnly="1" outline="0" fieldPosition="0">
        <references count="1">
          <reference field="12" count="0"/>
        </references>
      </pivotArea>
    </format>
    <format dxfId="105">
      <pivotArea dataOnly="0" labelOnly="1" grandRow="1" outline="0" fieldPosition="0"/>
    </format>
    <format dxfId="104">
      <pivotArea dataOnly="0" labelOnly="1" outline="0" axis="axisValues" fieldPosition="0"/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12" type="button" dataOnly="0" labelOnly="1" outline="0" axis="axisRow" fieldPosition="0"/>
    </format>
    <format dxfId="100">
      <pivotArea dataOnly="0" labelOnly="1" outline="0" fieldPosition="0">
        <references count="1">
          <reference field="12" count="0"/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12" type="button" dataOnly="0" labelOnly="1" outline="0" axis="axisRow" fieldPosition="0"/>
    </format>
    <format dxfId="94">
      <pivotArea dataOnly="0" labelOnly="1" outline="0" fieldPosition="0">
        <references count="1">
          <reference field="12" count="0"/>
        </references>
      </pivotArea>
    </format>
    <format dxfId="93">
      <pivotArea dataOnly="0" labelOnly="1" grandRow="1" outline="0" fieldPosition="0"/>
    </format>
    <format dxfId="92">
      <pivotArea dataOnly="0" labelOnly="1" outline="0" axis="axisValues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dataOnly="0" labelOnly="1" outline="0" fieldPosition="0">
        <references count="1">
          <reference field="12" count="0"/>
        </references>
      </pivotArea>
    </format>
    <format dxfId="88">
      <pivotArea field="12" type="button" dataOnly="0" labelOnly="1" outline="0" axis="axisRow" fieldPosition="0"/>
    </format>
    <format dxfId="87">
      <pivotArea dataOnly="0" labelOnly="1" outline="0" axis="axisValues" fieldPosition="0"/>
    </format>
    <format dxfId="86">
      <pivotArea grandRow="1" outline="0" collapsedLevelsAreSubtotals="1" fieldPosition="0"/>
    </format>
    <format dxfId="8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4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0">
        <item x="8"/>
        <item x="5"/>
        <item x="6"/>
        <item x="7"/>
        <item x="3"/>
        <item x="2"/>
        <item x="9"/>
        <item x="0"/>
        <item x="4"/>
        <item x="1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4">
        <item x="72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55"/>
        <item x="48"/>
        <item x="56"/>
        <item x="49"/>
        <item x="57"/>
        <item x="50"/>
        <item x="58"/>
        <item x="51"/>
        <item x="59"/>
        <item x="52"/>
        <item x="53"/>
        <item x="60"/>
        <item x="54"/>
        <item x="61"/>
        <item x="62"/>
        <item x="63"/>
        <item x="73"/>
        <item x="0"/>
        <item x="1"/>
        <item x="2"/>
        <item x="3"/>
        <item x="4"/>
        <item x="5"/>
        <item x="6"/>
        <item x="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8"/>
        <item x="9"/>
        <item x="10"/>
        <item x="11"/>
        <item x="12"/>
        <item x="13"/>
        <item x="14"/>
        <item x="15"/>
        <item x="40"/>
        <item x="41"/>
        <item x="42"/>
        <item x="43"/>
        <item x="44"/>
        <item x="45"/>
        <item x="46"/>
        <item x="47"/>
        <item x="64"/>
        <item x="65"/>
        <item x="66"/>
        <item x="67"/>
        <item x="68"/>
        <item x="69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4">
        <item x="7"/>
        <item x="11"/>
        <item x="9"/>
        <item x="10"/>
        <item x="8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insertBlankRow="1" defaultSubtotal="0">
      <items count="6">
        <item x="3"/>
        <item x="2"/>
        <item x="0"/>
        <item x="4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43">
    <i>
      <x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/>
    </i>
    <i>
      <x v="1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blank">
      <x v="2"/>
    </i>
    <i>
      <x v="3"/>
      <x v="12"/>
    </i>
    <i t="blank">
      <x v="3"/>
    </i>
    <i>
      <x v="4"/>
      <x v="13"/>
    </i>
    <i t="blank">
      <x v="4"/>
    </i>
    <i>
      <x v="5"/>
      <x/>
    </i>
    <i t="blank">
      <x v="5"/>
    </i>
    <i t="grand">
      <x/>
    </i>
  </rowItems>
  <colItems count="1">
    <i/>
  </colItems>
  <dataFields count="1">
    <dataField name="PAGAMENTOS" fld="8" baseField="3" baseItem="0" numFmtId="44"/>
  </dataFields>
  <formats count="9">
    <format dxfId="118">
      <pivotArea field="4" type="button" dataOnly="0" labelOnly="1" outline="0"/>
    </format>
    <format dxfId="117">
      <pivotArea field="2" type="button" dataOnly="0" labelOnly="1" outline="0"/>
    </format>
    <format dxfId="116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15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14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13">
      <pivotArea dataOnly="0" labelOnly="1" outline="0" fieldPosition="0">
        <references count="2">
          <reference field="11" count="1">
            <x v="13"/>
          </reference>
          <reference field="12" count="1" selected="0">
            <x v="4"/>
          </reference>
        </references>
      </pivotArea>
    </format>
    <format dxfId="112">
      <pivotArea field="11" type="button" dataOnly="0" labelOnly="1" outline="0" axis="axisRow" fieldPosition="1"/>
    </format>
    <format dxfId="111">
      <pivotArea dataOnly="0" labelOnly="1" grandRow="1" outline="0" fieldPosition="0"/>
    </format>
    <format dxfId="110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139" firstHeaderRow="1" firstDataRow="1" firstDataCol="5"/>
  <pivotFields count="13">
    <pivotField axis="axisRow" compact="0" outline="0" showAll="0" defaultSubtotal="0">
      <items count="9">
        <item h="1" x="7"/>
        <item x="4"/>
        <item x="3"/>
        <item x="2"/>
        <item x="6"/>
        <item x="0"/>
        <item x="8"/>
        <item h="1" x="1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0">
        <item x="8"/>
        <item x="5"/>
        <item x="6"/>
        <item x="7"/>
        <item x="3"/>
        <item x="2"/>
        <item x="9"/>
        <item x="0"/>
        <item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9">
        <item x="5"/>
        <item x="4"/>
        <item x="6"/>
        <item x="2"/>
        <item x="3"/>
        <item x="1"/>
        <item x="7"/>
        <item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4">
        <item x="7"/>
        <item x="11"/>
        <item x="9"/>
        <item x="10"/>
        <item x="8"/>
        <item x="0"/>
        <item x="1"/>
        <item x="2"/>
        <item x="3"/>
        <item x="4"/>
        <item x="5"/>
        <item x="6"/>
        <item x="12"/>
        <item x="13"/>
      </items>
    </pivotField>
    <pivotField name="ANO" axis="axisRow" compact="0" outline="0" showAll="0" defaultSubtotal="0">
      <items count="6">
        <item x="3"/>
        <item x="2"/>
        <item x="0"/>
        <item x="4"/>
        <item x="5"/>
        <item x="1"/>
      </items>
    </pivotField>
  </pivotFields>
  <rowFields count="5">
    <field x="0"/>
    <field x="2"/>
    <field x="7"/>
    <field x="11"/>
    <field x="12"/>
  </rowFields>
  <rowItems count="137">
    <i>
      <x v="1"/>
      <x v="1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 r="1">
      <x v="8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2">
      <x v="7"/>
      <x v="11"/>
      <x v="1"/>
    </i>
    <i t="blank" r="2">
      <x v="7"/>
    </i>
    <i r="2">
      <x v="8"/>
      <x/>
      <x v="2"/>
    </i>
    <i t="blank" r="2">
      <x v="8"/>
    </i>
    <i r="2">
      <x v="9"/>
      <x v="1"/>
      <x v="2"/>
    </i>
    <i t="blank" r="2">
      <x v="9"/>
    </i>
    <i r="2">
      <x v="10"/>
      <x v="2"/>
      <x v="2"/>
    </i>
    <i t="blank" r="2">
      <x v="10"/>
    </i>
    <i r="2">
      <x v="11"/>
      <x v="3"/>
      <x v="2"/>
    </i>
    <i t="blank" r="2">
      <x v="11"/>
    </i>
    <i>
      <x v="2"/>
      <x v="4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>
      <x v="3"/>
      <x v="5"/>
      <x/>
      <x v="2"/>
      <x/>
    </i>
    <i t="blank" r="2">
      <x/>
    </i>
    <i r="2">
      <x v="1"/>
      <x v="3"/>
      <x/>
    </i>
    <i t="blank" r="2">
      <x v="1"/>
    </i>
    <i r="2">
      <x v="2"/>
      <x v="4"/>
      <x/>
    </i>
    <i t="blank" r="2">
      <x v="2"/>
    </i>
    <i r="2">
      <x v="3"/>
      <x v="5"/>
      <x/>
    </i>
    <i t="blank" r="2">
      <x v="3"/>
    </i>
    <i r="2">
      <x v="4"/>
      <x v="6"/>
      <x/>
    </i>
    <i t="blank" r="2">
      <x v="4"/>
    </i>
    <i r="2">
      <x v="5"/>
      <x v="7"/>
      <x/>
    </i>
    <i t="blank" r="2">
      <x v="5"/>
    </i>
    <i r="2">
      <x v="6"/>
      <x v="8"/>
      <x/>
    </i>
    <i t="blank" r="2">
      <x v="6"/>
    </i>
    <i r="2">
      <x v="7"/>
      <x v="9"/>
      <x/>
    </i>
    <i t="blank" r="2">
      <x v="7"/>
    </i>
    <i r="2">
      <x v="8"/>
      <x v="10"/>
      <x/>
    </i>
    <i t="blank" r="2">
      <x v="8"/>
    </i>
    <i r="2">
      <x v="9"/>
      <x v="11"/>
      <x/>
    </i>
    <i t="blank" r="2">
      <x v="9"/>
    </i>
    <i r="2">
      <x v="10"/>
      <x/>
      <x v="1"/>
    </i>
    <i t="blank" r="2">
      <x v="10"/>
    </i>
    <i r="2">
      <x v="11"/>
      <x v="1"/>
      <x v="1"/>
    </i>
    <i t="blank" r="2">
      <x v="11"/>
    </i>
    <i>
      <x v="4"/>
      <x v="3"/>
      <x/>
      <x v="3"/>
      <x v="1"/>
    </i>
    <i t="blank" r="2">
      <x/>
    </i>
    <i r="2">
      <x v="1"/>
      <x v="4"/>
      <x v="1"/>
    </i>
    <i t="blank" r="2">
      <x v="1"/>
    </i>
    <i r="2">
      <x v="2"/>
      <x v="5"/>
      <x v="1"/>
    </i>
    <i t="blank" r="2">
      <x v="2"/>
    </i>
    <i r="2">
      <x v="3"/>
      <x v="6"/>
      <x v="1"/>
    </i>
    <i t="blank" r="2">
      <x v="3"/>
    </i>
    <i r="2">
      <x v="4"/>
      <x v="7"/>
      <x v="1"/>
    </i>
    <i t="blank" r="2">
      <x v="4"/>
    </i>
    <i r="2">
      <x v="6"/>
      <x v="9"/>
      <x v="1"/>
    </i>
    <i t="blank" r="2">
      <x v="6"/>
    </i>
    <i r="2">
      <x v="7"/>
      <x v="10"/>
      <x v="1"/>
    </i>
    <i t="blank" r="2">
      <x v="7"/>
    </i>
    <i r="2">
      <x v="8"/>
      <x v="11"/>
      <x v="1"/>
    </i>
    <i t="blank" r="2">
      <x v="8"/>
    </i>
    <i r="2">
      <x v="9"/>
      <x/>
      <x v="2"/>
    </i>
    <i t="blank" r="2">
      <x v="9"/>
    </i>
    <i>
      <x v="5"/>
      <x v="2"/>
      <x/>
      <x v="4"/>
      <x v="1"/>
    </i>
    <i t="blank" r="2">
      <x/>
    </i>
    <i r="2">
      <x v="1"/>
      <x v="5"/>
      <x v="1"/>
    </i>
    <i t="blank" r="2">
      <x v="1"/>
    </i>
    <i r="2">
      <x v="2"/>
      <x v="6"/>
      <x v="1"/>
    </i>
    <i t="blank" r="2">
      <x v="2"/>
    </i>
    <i r="2">
      <x v="3"/>
      <x v="7"/>
      <x v="1"/>
    </i>
    <i t="blank" r="2">
      <x v="3"/>
    </i>
    <i r="2">
      <x v="4"/>
      <x v="8"/>
      <x v="1"/>
    </i>
    <i t="blank" r="2">
      <x v="4"/>
    </i>
    <i r="2">
      <x v="5"/>
      <x v="9"/>
      <x v="1"/>
    </i>
    <i t="blank" r="2">
      <x v="5"/>
    </i>
    <i r="2">
      <x v="6"/>
      <x v="10"/>
      <x v="1"/>
    </i>
    <i t="blank" r="2">
      <x v="6"/>
    </i>
    <i r="1">
      <x v="7"/>
      <x/>
      <x v="5"/>
      <x v="2"/>
    </i>
    <i t="blank" r="2">
      <x/>
    </i>
    <i r="2">
      <x v="1"/>
      <x v="6"/>
      <x v="2"/>
    </i>
    <i t="blank" r="2">
      <x v="1"/>
    </i>
    <i r="2">
      <x v="2"/>
      <x v="7"/>
      <x v="2"/>
    </i>
    <i t="blank" r="2">
      <x v="2"/>
    </i>
    <i r="2">
      <x v="3"/>
      <x v="8"/>
      <x v="2"/>
    </i>
    <i t="blank" r="2">
      <x v="3"/>
    </i>
    <i r="2">
      <x v="4"/>
      <x v="9"/>
      <x v="2"/>
    </i>
    <i t="blank" r="2">
      <x v="4"/>
    </i>
    <i r="2">
      <x v="5"/>
      <x v="10"/>
      <x v="2"/>
    </i>
    <i t="blank" r="2">
      <x v="5"/>
    </i>
    <i r="2">
      <x v="6"/>
      <x v="11"/>
      <x v="2"/>
    </i>
    <i t="blank" r="2">
      <x v="6"/>
    </i>
    <i r="2">
      <x v="7"/>
      <x/>
      <x v="5"/>
    </i>
    <i t="blank" r="2">
      <x v="7"/>
    </i>
    <i>
      <x v="6"/>
      <x v="6"/>
      <x v="13"/>
      <x v="13"/>
      <x v="4"/>
    </i>
    <i t="blank" r="2">
      <x v="13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125">
      <pivotArea field="6" type="button" dataOnly="0" labelOnly="1" outline="0"/>
    </format>
    <format dxfId="124">
      <pivotArea outline="0" fieldPosition="0">
        <references count="1">
          <reference field="4294967294" count="1">
            <x v="0"/>
          </reference>
        </references>
      </pivotArea>
    </format>
    <format dxfId="123">
      <pivotArea outline="0" collapsedLevelsAreSubtotals="1" fieldPosition="0"/>
    </format>
    <format dxfId="122">
      <pivotArea dataOnly="0" labelOnly="1" outline="0" axis="axisValues" fieldPosition="0"/>
    </format>
    <format dxfId="121">
      <pivotArea field="7" type="button" dataOnly="0" labelOnly="1" outline="0" axis="axisRow" fieldPosition="2"/>
    </format>
    <format dxfId="120">
      <pivotArea field="11" type="button" dataOnly="0" labelOnly="1" outline="0" axis="axisRow" fieldPosition="3"/>
    </format>
    <format dxfId="119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31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10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2"/>
        <item x="3"/>
        <item x="1"/>
        <item x="0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8">
    <i>
      <x/>
      <x/>
    </i>
    <i>
      <x v="1"/>
      <x v="1"/>
    </i>
    <i r="1">
      <x v="2"/>
    </i>
    <i>
      <x v="2"/>
      <x v="2"/>
    </i>
    <i r="1">
      <x v="3"/>
    </i>
    <i>
      <x v="3"/>
      <x v="4"/>
    </i>
    <i>
      <x v="4"/>
      <x v="5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59">
      <pivotArea field="10" type="button" dataOnly="0" labelOnly="1" outline="0" axis="axisRow" fieldPosition="0"/>
    </format>
    <format dxfId="58">
      <pivotArea dataOnly="0" labelOnly="1" outline="0" fieldPosition="0">
        <references count="1">
          <reference field="10" count="0"/>
        </references>
      </pivotArea>
    </format>
    <format dxfId="57">
      <pivotArea dataOnly="0" labelOnly="1" grandRow="1" outline="0" fieldPosition="0"/>
    </format>
    <format dxfId="56">
      <pivotArea field="9" type="button" dataOnly="0" labelOnly="1" outline="0" axis="axisRow" fieldPosition="1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0" type="button" dataOnly="0" labelOnly="1" outline="0" axis="axisRow" fieldPosition="0"/>
    </format>
    <format dxfId="52">
      <pivotArea field="9" type="button" dataOnly="0" labelOnly="1" outline="0" axis="axisRow" fieldPosition="1"/>
    </format>
    <format dxfId="51">
      <pivotArea dataOnly="0" labelOnly="1" outline="0" fieldPosition="0">
        <references count="1">
          <reference field="10" count="0"/>
        </references>
      </pivotArea>
    </format>
    <format dxfId="50">
      <pivotArea dataOnly="0" labelOnly="1" grandRow="1" outline="0" fieldPosition="0"/>
    </format>
    <format dxfId="4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4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4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0" type="button" dataOnly="0" labelOnly="1" outline="0" axis="axisRow" fieldPosition="0"/>
    </format>
    <format dxfId="42">
      <pivotArea field="9" type="button" dataOnly="0" labelOnly="1" outline="0" axis="axisRow" fieldPosition="1"/>
    </format>
    <format dxfId="41">
      <pivotArea dataOnly="0" labelOnly="1" outline="0" fieldPosition="0">
        <references count="1">
          <reference field="10" count="0"/>
        </references>
      </pivotArea>
    </format>
    <format dxfId="40">
      <pivotArea dataOnly="0" labelOnly="1" grandRow="1" outline="0" fieldPosition="0"/>
    </format>
    <format dxfId="3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3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3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36">
      <pivotArea dataOnly="0" labelOnly="1" outline="0" axis="axisValues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0" type="button" dataOnly="0" labelOnly="1" outline="0" axis="axisRow" fieldPosition="0"/>
    </format>
    <format dxfId="32">
      <pivotArea field="9" type="button" dataOnly="0" labelOnly="1" outline="0" axis="axisRow" fieldPosition="1"/>
    </format>
    <format dxfId="31">
      <pivotArea dataOnly="0" labelOnly="1" outline="0" fieldPosition="0">
        <references count="1">
          <reference field="10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28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27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26">
      <pivotArea dataOnly="0" labelOnly="1" outline="0" axis="axisValues" fieldPosition="0"/>
    </format>
    <format dxfId="25">
      <pivotArea grandRow="1" outline="0" collapsedLevelsAreSubtotals="1" fieldPosition="0"/>
    </format>
    <format dxfId="24">
      <pivotArea grandRow="1" outline="0" collapsedLevelsAreSubtotals="1" fieldPosition="0"/>
    </format>
    <format dxfId="2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10" firstHeaderRow="1" firstDataRow="1" firstDataCol="3"/>
  <pivotFields count="13">
    <pivotField axis="axisRow" compact="0" outline="0" showAll="0" defaultSubtotal="0">
      <items count="9">
        <item h="1" x="7"/>
        <item x="4"/>
        <item x="3"/>
        <item x="2"/>
        <item x="6"/>
        <item x="0"/>
        <item h="1" x="8"/>
        <item h="1" x="1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0">
        <item x="8"/>
        <item x="5"/>
        <item x="6"/>
        <item x="7"/>
        <item x="4"/>
        <item x="3"/>
        <item x="2"/>
        <item x="0"/>
        <item x="9"/>
        <item x="1"/>
      </items>
    </pivotField>
    <pivotField axis="axisRow" compact="0" outline="0" showAll="0" defaultSubtotal="0">
      <items count="10">
        <item x="8"/>
        <item x="2"/>
        <item x="6"/>
        <item x="5"/>
        <item x="3"/>
        <item x="0"/>
        <item x="9"/>
        <item x="1"/>
        <item x="4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x="2"/>
        <item x="3"/>
        <item x="1"/>
        <item x="0"/>
        <item x="4"/>
        <item x="5"/>
      </items>
    </pivotField>
    <pivotField compact="0" outline="0" showAll="0" defaultSubtotal="0">
      <items count="5">
        <item x="2"/>
        <item x="1"/>
        <item x="0"/>
        <item x="3"/>
        <item x="4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8">
    <i>
      <x v="1"/>
      <x v="1"/>
      <x v="1"/>
    </i>
    <i r="1">
      <x v="2"/>
      <x v="5"/>
    </i>
    <i r="1">
      <x v="3"/>
      <x v="6"/>
    </i>
    <i>
      <x v="2"/>
      <x v="4"/>
      <x v="3"/>
    </i>
    <i>
      <x v="3"/>
      <x v="5"/>
      <x v="2"/>
    </i>
    <i>
      <x v="4"/>
      <x v="1"/>
      <x v="4"/>
    </i>
    <i>
      <x v="5"/>
      <x v="5"/>
      <x v="7"/>
    </i>
    <i t="grand">
      <x/>
    </i>
  </rowItems>
  <colItems count="1">
    <i/>
  </colItems>
  <dataFields count="1">
    <dataField name="Soma de VALOR PARCELA" fld="8" baseField="2" baseItem="1" numFmtId="44"/>
  </dataFields>
  <formats count="25">
    <format dxfId="84">
      <pivotArea field="3" type="button" dataOnly="0" labelOnly="1" outline="0" axis="axisRow" fieldPosition="0"/>
    </format>
    <format dxfId="83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field="0" type="button" dataOnly="0" labelOnly="1" outline="0" axis="axisRow" fieldPosition="1"/>
    </format>
    <format dxfId="77">
      <pivotArea field="2" type="button" dataOnly="0" labelOnly="1" outline="0" axis="axisRow" fieldPosition="2"/>
    </format>
    <format dxfId="76">
      <pivotArea dataOnly="0" labelOnly="1" outline="0" fieldPosition="0">
        <references count="1">
          <reference field="3" count="5">
            <x v="1"/>
            <x v="2"/>
            <x v="3"/>
            <x v="4"/>
            <x v="5"/>
          </reference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1"/>
          </reference>
        </references>
      </pivotArea>
    </format>
    <format dxfId="73">
      <pivotArea dataOnly="0" labelOnly="1" outline="0" fieldPosition="0">
        <references count="2">
          <reference field="0" count="1">
            <x v="4"/>
          </reference>
          <reference field="3" count="1" selected="0">
            <x v="2"/>
          </reference>
        </references>
      </pivotArea>
    </format>
    <format dxfId="72">
      <pivotArea dataOnly="0" labelOnly="1" outline="0" fieldPosition="0">
        <references count="2">
          <reference field="0" count="1">
            <x v="5"/>
          </reference>
          <reference field="3" count="1" selected="0">
            <x v="3"/>
          </reference>
        </references>
      </pivotArea>
    </format>
    <format dxfId="71">
      <pivotArea dataOnly="0" labelOnly="1" outline="0" fieldPosition="0">
        <references count="2">
          <reference field="0" count="1">
            <x v="1"/>
          </reference>
          <reference field="3" count="1" selected="0">
            <x v="4"/>
          </reference>
        </references>
      </pivotArea>
    </format>
    <format dxfId="70">
      <pivotArea dataOnly="0" labelOnly="1" outline="0" fieldPosition="0">
        <references count="2">
          <reference field="0" count="1">
            <x v="5"/>
          </reference>
          <reference field="3" count="1" selected="0">
            <x v="5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1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1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2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3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4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5"/>
          </reference>
        </references>
      </pivotArea>
    </format>
    <format dxfId="62">
      <pivotArea dataOnly="0" labelOnly="1" outline="0" axis="axisValues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16" firstHeaderRow="1" firstDataRow="1" firstDataCol="4"/>
  <pivotFields count="6">
    <pivotField axis="axisRow" compact="0" outline="0" showAll="0" insertBlankRow="1" defaultSubtotal="0">
      <items count="6">
        <item x="0"/>
        <item x="4"/>
        <item x="2"/>
        <item x="3"/>
        <item x="1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x="4"/>
        <item x="1"/>
        <item x="0"/>
        <item x="3"/>
        <item x="2"/>
        <item x="5"/>
      </items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4">
    <i>
      <x/>
      <x/>
      <x/>
      <x v="1"/>
    </i>
    <i r="2">
      <x v="2"/>
      <x v="2"/>
    </i>
    <i t="blank">
      <x/>
    </i>
    <i>
      <x v="1"/>
      <x/>
      <x v="2"/>
      <x v="1"/>
    </i>
    <i t="blank">
      <x v="1"/>
    </i>
    <i>
      <x v="2"/>
      <x/>
      <x v="4"/>
      <x/>
    </i>
    <i t="blank">
      <x v="2"/>
    </i>
    <i>
      <x v="3"/>
      <x/>
      <x v="2"/>
      <x/>
    </i>
    <i r="2">
      <x v="3"/>
      <x/>
    </i>
    <i t="blank">
      <x v="3"/>
    </i>
    <i>
      <x v="4"/>
      <x/>
      <x v="1"/>
      <x/>
    </i>
    <i r="1">
      <x v="2"/>
      <x v="2"/>
      <x/>
    </i>
    <i t="blank">
      <x v="4"/>
    </i>
    <i t="grand">
      <x/>
    </i>
  </rowItems>
  <colItems count="1">
    <i/>
  </colItems>
  <dataFields count="1">
    <dataField name="Soma de COMISSÃO" fld="3" baseField="1" baseItem="1" numFmtId="44"/>
  </dataFields>
  <formats count="23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field="5" type="button" dataOnly="0" labelOnly="1" outline="0" axis="axisRow" fieldPosition="1"/>
    </format>
    <format dxfId="18">
      <pivotArea field="4" type="button" dataOnly="0" labelOnly="1" outline="0" axis="axisRow" fieldPosition="2"/>
    </format>
    <format dxfId="17">
      <pivotArea field="1" type="button" dataOnly="0" labelOnly="1" outline="0" axis="axisRow" fieldPosition="3"/>
    </format>
    <format dxfId="16">
      <pivotArea dataOnly="0" labelOnly="1" outline="0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12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2">
      <pivotArea dataOnly="0" labelOnly="1" outline="0" axis="axisValues" fieldPosition="0"/>
    </format>
    <format dxfId="1">
      <pivotArea field="5" type="button" dataOnly="0" labelOnly="1" outline="0" axis="axisRow" fieldPosition="1"/>
    </format>
    <format dxfId="0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4">
        <i x="7" s="1"/>
        <i x="11" s="1"/>
        <i x="9" s="1"/>
        <i x="10" s="1"/>
        <i x="8" s="1"/>
        <i x="0" s="1"/>
        <i x="1" s="1"/>
        <i x="2" s="1"/>
        <i x="3" s="1"/>
        <i x="4" s="1"/>
        <i x="5" s="1"/>
        <i x="6" s="1"/>
        <i x="12" s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6">
        <i x="3" s="1"/>
        <i x="2" s="1"/>
        <i x="0" s="1"/>
        <i x="1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2" s="1"/>
        <i x="3" s="1"/>
        <i x="1" s="1"/>
        <i x="0" s="1"/>
        <i x="4" s="1"/>
        <i x="5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5">
        <i x="2" s="1"/>
        <i x="1" s="1"/>
        <i x="0" s="1"/>
        <i x="3" s="1"/>
        <i x="4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6">
        <i x="4" s="1"/>
        <i x="1" s="1"/>
        <i x="0" s="1"/>
        <i x="3" s="1"/>
        <i x="2" s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146" dataDxfId="144" headerRowBorderDxfId="145" tableBorderDxfId="143" totalsRowBorderDxfId="142">
  <tableColumns count="5">
    <tableColumn id="1" xr3:uid="{41BB5AD6-9B55-439B-A267-DB978778B081}" name="Nome" dataDxfId="141"/>
    <tableColumn id="2" xr3:uid="{86672887-135C-41F3-9F41-8482917D20CA}" name="CPF" dataDxfId="140"/>
    <tableColumn id="3" xr3:uid="{B5EE3CD0-BC0F-41A9-BFE6-58DE08DE13F1}" name="CARGO" dataDxfId="139"/>
    <tableColumn id="4" xr3:uid="{81D1564E-685F-4375-9298-A35D849043B6}" name="EMAIL" dataDxfId="138"/>
    <tableColumn id="5" xr3:uid="{A18125EC-5DCD-4DC7-B688-F3C3E0A62EBC}" name="DATA CADASTRO" dataDxfId="137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36" dataDxfId="134" headerRowBorderDxfId="135" tableBorderDxfId="133" totalsRowBorderDxfId="132">
  <tableColumns count="6">
    <tableColumn id="1" xr3:uid="{A992D616-629B-4ED4-9DDE-A36E7EE6A19C}" name="Nome" dataDxfId="131"/>
    <tableColumn id="2" xr3:uid="{BB8A4FB3-8149-4CC2-BF5E-D4B56B342B1E}" name="CPF" dataDxfId="130"/>
    <tableColumn id="3" xr3:uid="{1E0D060B-32BE-4491-92A7-1E999D2E55A0}" name="CARGO" dataDxfId="129"/>
    <tableColumn id="4" xr3:uid="{D7CA9B26-5B17-439F-B431-F248B3CA6288}" name="EMAIL" dataDxfId="128"/>
    <tableColumn id="5" xr3:uid="{13F9A03D-D712-4CB8-A749-74739C3539DA}" name="Admissão" dataDxfId="127" dataCellStyle="Moeda"/>
    <tableColumn id="6" xr3:uid="{A4871059-E9CC-4DBF-9FBF-CA4D96BB84BE}" name="COMISSÃO" dataDxfId="126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9" topLeftCell="T42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</row>
    <row r="2" spans="1:19" ht="20.25" thickBot="1">
      <c r="A2" s="55"/>
      <c r="B2" s="56"/>
      <c r="C2" s="56"/>
      <c r="D2" s="56"/>
      <c r="E2" s="56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56"/>
      <c r="Q2" s="157">
        <f ca="1">TODAY()</f>
        <v>45106</v>
      </c>
      <c r="R2" s="158"/>
      <c r="S2" s="55"/>
    </row>
    <row r="3" spans="1:19" ht="61.5">
      <c r="A3" s="55"/>
      <c r="B3" s="56"/>
      <c r="C3" s="56"/>
      <c r="D3" s="56"/>
      <c r="E3" s="56"/>
      <c r="F3" s="155"/>
      <c r="G3" s="156"/>
      <c r="H3" s="156"/>
      <c r="I3" s="156"/>
      <c r="J3" s="156"/>
      <c r="K3" s="156"/>
      <c r="L3" s="156"/>
      <c r="M3" s="156"/>
      <c r="N3" s="155"/>
      <c r="O3" s="155"/>
      <c r="P3" s="56"/>
      <c r="Q3" s="56"/>
      <c r="R3" s="56"/>
      <c r="S3" s="55"/>
    </row>
    <row r="4" spans="1:19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5"/>
    </row>
    <row r="5" spans="1:19">
      <c r="A5" s="55"/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6"/>
      <c r="S5" s="55"/>
    </row>
    <row r="6" spans="1:19">
      <c r="A6" s="55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6"/>
      <c r="S6" s="55"/>
    </row>
    <row r="7" spans="1:19">
      <c r="A7" s="55"/>
      <c r="B7" s="56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6"/>
      <c r="S7" s="55"/>
    </row>
    <row r="8" spans="1:19">
      <c r="A8" s="55"/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6"/>
      <c r="S8" s="55"/>
    </row>
    <row r="9" spans="1:19">
      <c r="A9" s="55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5"/>
    </row>
    <row r="10" spans="1:19">
      <c r="A10" s="55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5"/>
    </row>
    <row r="11" spans="1:19">
      <c r="A11" s="55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5"/>
    </row>
    <row r="12" spans="1:19">
      <c r="A12" s="55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5"/>
    </row>
    <row r="13" spans="1:19">
      <c r="A13" s="55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5"/>
    </row>
    <row r="14" spans="1:19">
      <c r="A14" s="55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5"/>
    </row>
    <row r="15" spans="1:19">
      <c r="A15" s="55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5"/>
    </row>
    <row r="16" spans="1:19">
      <c r="A16" s="55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5"/>
    </row>
    <row r="17" spans="1:19">
      <c r="A17" s="55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5"/>
    </row>
    <row r="18" spans="1:19">
      <c r="A18" s="55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5"/>
    </row>
    <row r="19" spans="1:19">
      <c r="A19" s="55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5"/>
    </row>
    <row r="20" spans="1:19">
      <c r="A20" s="55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5"/>
    </row>
    <row r="21" spans="1:19">
      <c r="A21" s="55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5"/>
    </row>
    <row r="22" spans="1:19">
      <c r="A22" s="55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5"/>
    </row>
    <row r="23" spans="1:19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5"/>
    </row>
    <row r="24" spans="1:19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5"/>
    </row>
    <row r="25" spans="1:19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5"/>
    </row>
    <row r="26" spans="1:19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5"/>
    </row>
    <row r="27" spans="1:19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5"/>
    </row>
    <row r="28" spans="1:19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5"/>
    </row>
    <row r="29" spans="1:19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showGridLines="0" showRowColHeaders="0" workbookViewId="0">
      <pane xSplit="6" ySplit="28" topLeftCell="G29" activePane="bottomRight" state="frozen"/>
      <selection pane="topRight" activeCell="G1" sqref="G1"/>
      <selection pane="bottomLeft" activeCell="A29" sqref="A29"/>
      <selection pane="bottomRight" activeCell="F17" sqref="F17"/>
    </sheetView>
  </sheetViews>
  <sheetFormatPr defaultColWidth="0"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3" customWidth="1"/>
    <col min="6" max="6" width="12" customWidth="1"/>
    <col min="7" max="7" width="13" customWidth="1"/>
    <col min="8" max="16384" width="9.140625" hidden="1"/>
  </cols>
  <sheetData>
    <row r="1" spans="1:5" s="47" customFormat="1">
      <c r="A1" s="44" t="s">
        <v>55</v>
      </c>
      <c r="B1" s="45" t="s">
        <v>1</v>
      </c>
      <c r="C1" s="45" t="s">
        <v>56</v>
      </c>
      <c r="D1" s="45" t="s">
        <v>57</v>
      </c>
      <c r="E1" s="46" t="s">
        <v>15</v>
      </c>
    </row>
    <row r="2" spans="1:5" s="34" customFormat="1">
      <c r="A2" s="35" t="s">
        <v>12</v>
      </c>
      <c r="B2" s="38">
        <v>7303330976</v>
      </c>
      <c r="C2" s="36" t="s">
        <v>31</v>
      </c>
      <c r="D2" s="36" t="s">
        <v>59</v>
      </c>
      <c r="E2" s="37" t="s">
        <v>16</v>
      </c>
    </row>
    <row r="3" spans="1:5" s="34" customFormat="1">
      <c r="A3" s="35" t="s">
        <v>13</v>
      </c>
      <c r="B3" s="38">
        <v>7303330975</v>
      </c>
      <c r="C3" s="36" t="s">
        <v>31</v>
      </c>
      <c r="D3" s="36" t="s">
        <v>60</v>
      </c>
      <c r="E3" s="37">
        <v>35977</v>
      </c>
    </row>
    <row r="4" spans="1:5" s="34" customFormat="1">
      <c r="A4" s="35" t="s">
        <v>24</v>
      </c>
      <c r="B4" s="38">
        <v>7303330977</v>
      </c>
      <c r="C4" s="36" t="s">
        <v>31</v>
      </c>
      <c r="D4" s="36" t="s">
        <v>61</v>
      </c>
      <c r="E4" s="37">
        <v>37021</v>
      </c>
    </row>
    <row r="5" spans="1:5" s="34" customFormat="1">
      <c r="A5" s="35" t="s">
        <v>26</v>
      </c>
      <c r="B5" s="38">
        <v>8244227427</v>
      </c>
      <c r="C5" s="36" t="s">
        <v>27</v>
      </c>
      <c r="D5" s="36" t="s">
        <v>62</v>
      </c>
      <c r="E5" s="37">
        <v>43545</v>
      </c>
    </row>
    <row r="6" spans="1:5" s="34" customFormat="1">
      <c r="A6" s="35" t="s">
        <v>28</v>
      </c>
      <c r="B6" s="38">
        <v>14042620752</v>
      </c>
      <c r="C6" s="36" t="s">
        <v>29</v>
      </c>
      <c r="D6" s="36" t="s">
        <v>63</v>
      </c>
      <c r="E6" s="37">
        <v>43555</v>
      </c>
    </row>
    <row r="7" spans="1:5" s="34" customFormat="1">
      <c r="A7" s="35" t="s">
        <v>30</v>
      </c>
      <c r="B7" s="38">
        <v>6677993262</v>
      </c>
      <c r="C7" s="36" t="s">
        <v>31</v>
      </c>
      <c r="D7" s="36" t="s">
        <v>64</v>
      </c>
      <c r="E7" s="37">
        <v>43565</v>
      </c>
    </row>
    <row r="8" spans="1:5" s="34" customFormat="1">
      <c r="A8" s="35" t="s">
        <v>32</v>
      </c>
      <c r="B8" s="38">
        <v>13481923178</v>
      </c>
      <c r="C8" s="36" t="s">
        <v>33</v>
      </c>
      <c r="D8" s="36" t="s">
        <v>65</v>
      </c>
      <c r="E8" s="37">
        <v>43575</v>
      </c>
    </row>
    <row r="9" spans="1:5" s="34" customFormat="1">
      <c r="A9" s="35" t="s">
        <v>34</v>
      </c>
      <c r="B9" s="38">
        <v>7303330974</v>
      </c>
      <c r="C9" s="36" t="s">
        <v>33</v>
      </c>
      <c r="D9" s="36" t="s">
        <v>65</v>
      </c>
      <c r="E9" s="37">
        <v>43585</v>
      </c>
    </row>
    <row r="10" spans="1:5" s="34" customFormat="1">
      <c r="A10" s="35" t="s">
        <v>35</v>
      </c>
      <c r="B10" s="38">
        <v>8534793687</v>
      </c>
      <c r="C10" s="36" t="s">
        <v>31</v>
      </c>
      <c r="D10" s="36" t="s">
        <v>64</v>
      </c>
      <c r="E10" s="37">
        <v>43595</v>
      </c>
    </row>
    <row r="11" spans="1:5" s="34" customFormat="1">
      <c r="A11" s="35" t="s">
        <v>36</v>
      </c>
      <c r="B11" s="38">
        <v>12790015618</v>
      </c>
      <c r="C11" s="36" t="s">
        <v>37</v>
      </c>
      <c r="D11" s="36" t="s">
        <v>66</v>
      </c>
      <c r="E11" s="37">
        <v>43605</v>
      </c>
    </row>
    <row r="12" spans="1:5" s="34" customFormat="1">
      <c r="A12" s="35" t="s">
        <v>38</v>
      </c>
      <c r="B12" s="38">
        <v>10403073100</v>
      </c>
      <c r="C12" s="36" t="s">
        <v>27</v>
      </c>
      <c r="D12" s="36" t="s">
        <v>62</v>
      </c>
      <c r="E12" s="37">
        <v>43615</v>
      </c>
    </row>
    <row r="13" spans="1:5" s="34" customFormat="1">
      <c r="A13" s="35" t="s">
        <v>39</v>
      </c>
      <c r="B13" s="38">
        <v>8141976567</v>
      </c>
      <c r="C13" s="36" t="s">
        <v>33</v>
      </c>
      <c r="D13" s="36" t="s">
        <v>65</v>
      </c>
      <c r="E13" s="37">
        <v>43625</v>
      </c>
    </row>
    <row r="14" spans="1:5" s="34" customFormat="1">
      <c r="A14" s="35" t="s">
        <v>40</v>
      </c>
      <c r="B14" s="38">
        <v>13753218615</v>
      </c>
      <c r="C14" s="36" t="s">
        <v>33</v>
      </c>
      <c r="D14" s="36" t="s">
        <v>65</v>
      </c>
      <c r="E14" s="37">
        <v>43635</v>
      </c>
    </row>
    <row r="15" spans="1:5" s="34" customFormat="1">
      <c r="A15" s="35" t="s">
        <v>41</v>
      </c>
      <c r="B15" s="38">
        <v>13365514967</v>
      </c>
      <c r="C15" s="36" t="s">
        <v>27</v>
      </c>
      <c r="D15" s="36" t="s">
        <v>62</v>
      </c>
      <c r="E15" s="37">
        <v>43645</v>
      </c>
    </row>
    <row r="16" spans="1:5" s="34" customFormat="1">
      <c r="A16" s="35" t="s">
        <v>42</v>
      </c>
      <c r="B16" s="38">
        <v>10700047349</v>
      </c>
      <c r="C16" s="36" t="s">
        <v>27</v>
      </c>
      <c r="D16" s="36" t="s">
        <v>62</v>
      </c>
      <c r="E16" s="37">
        <v>43655</v>
      </c>
    </row>
    <row r="17" spans="1:5" s="34" customFormat="1">
      <c r="A17" s="35" t="s">
        <v>43</v>
      </c>
      <c r="B17" s="38">
        <v>13335156751</v>
      </c>
      <c r="C17" s="36" t="s">
        <v>29</v>
      </c>
      <c r="D17" s="36" t="s">
        <v>63</v>
      </c>
      <c r="E17" s="37">
        <v>43665</v>
      </c>
    </row>
    <row r="18" spans="1:5" s="34" customFormat="1">
      <c r="A18" s="35" t="s">
        <v>44</v>
      </c>
      <c r="B18" s="38">
        <v>13672562963</v>
      </c>
      <c r="C18" s="36" t="s">
        <v>33</v>
      </c>
      <c r="D18" s="36" t="s">
        <v>65</v>
      </c>
      <c r="E18" s="37">
        <v>43675</v>
      </c>
    </row>
    <row r="19" spans="1:5" s="34" customFormat="1">
      <c r="A19" s="35" t="s">
        <v>45</v>
      </c>
      <c r="B19" s="38">
        <v>14074531754</v>
      </c>
      <c r="C19" s="36" t="s">
        <v>46</v>
      </c>
      <c r="D19" s="36" t="s">
        <v>67</v>
      </c>
      <c r="E19" s="37">
        <v>43685</v>
      </c>
    </row>
    <row r="20" spans="1:5" s="34" customFormat="1">
      <c r="A20" s="35" t="s">
        <v>47</v>
      </c>
      <c r="B20" s="38">
        <v>11085752980</v>
      </c>
      <c r="C20" s="36" t="s">
        <v>31</v>
      </c>
      <c r="D20" s="36" t="s">
        <v>64</v>
      </c>
      <c r="E20" s="37">
        <v>43695</v>
      </c>
    </row>
    <row r="21" spans="1:5" s="34" customFormat="1">
      <c r="A21" s="35" t="s">
        <v>48</v>
      </c>
      <c r="B21" s="38">
        <v>13616340129</v>
      </c>
      <c r="C21" s="36" t="s">
        <v>31</v>
      </c>
      <c r="D21" s="36" t="s">
        <v>64</v>
      </c>
      <c r="E21" s="37">
        <v>43705</v>
      </c>
    </row>
    <row r="22" spans="1:5" s="34" customFormat="1">
      <c r="A22" s="35" t="s">
        <v>49</v>
      </c>
      <c r="B22" s="38">
        <v>12751153973</v>
      </c>
      <c r="C22" s="36" t="s">
        <v>37</v>
      </c>
      <c r="D22" s="36" t="s">
        <v>66</v>
      </c>
      <c r="E22" s="37">
        <v>43715</v>
      </c>
    </row>
    <row r="23" spans="1:5" s="34" customFormat="1">
      <c r="A23" s="35" t="s">
        <v>50</v>
      </c>
      <c r="B23" s="38">
        <v>15178223721</v>
      </c>
      <c r="C23" s="36" t="s">
        <v>37</v>
      </c>
      <c r="D23" s="36" t="s">
        <v>66</v>
      </c>
      <c r="E23" s="37">
        <v>43725</v>
      </c>
    </row>
    <row r="24" spans="1:5" s="34" customFormat="1">
      <c r="A24" s="35" t="s">
        <v>51</v>
      </c>
      <c r="B24" s="38">
        <v>10198144634</v>
      </c>
      <c r="C24" s="36" t="s">
        <v>31</v>
      </c>
      <c r="D24" s="36" t="s">
        <v>64</v>
      </c>
      <c r="E24" s="37">
        <v>43735</v>
      </c>
    </row>
    <row r="25" spans="1:5" s="34" customFormat="1">
      <c r="A25" s="35" t="s">
        <v>52</v>
      </c>
      <c r="B25" s="38">
        <v>12146480128</v>
      </c>
      <c r="C25" s="36" t="s">
        <v>46</v>
      </c>
      <c r="D25" s="36" t="s">
        <v>67</v>
      </c>
      <c r="E25" s="37">
        <v>43745</v>
      </c>
    </row>
    <row r="26" spans="1:5" s="34" customFormat="1">
      <c r="A26" s="35" t="s">
        <v>53</v>
      </c>
      <c r="B26" s="38">
        <v>9786760977</v>
      </c>
      <c r="C26" s="36" t="s">
        <v>37</v>
      </c>
      <c r="D26" s="36" t="s">
        <v>66</v>
      </c>
      <c r="E26" s="37">
        <v>43755</v>
      </c>
    </row>
    <row r="27" spans="1:5" s="34" customFormat="1">
      <c r="A27" s="35" t="s">
        <v>54</v>
      </c>
      <c r="B27" s="38">
        <v>14440278194</v>
      </c>
      <c r="C27" s="36" t="s">
        <v>27</v>
      </c>
      <c r="D27" s="36" t="s">
        <v>62</v>
      </c>
      <c r="E27" s="37">
        <v>43765</v>
      </c>
    </row>
    <row r="28" spans="1:5" s="34" customFormat="1">
      <c r="A28" s="39" t="s">
        <v>58</v>
      </c>
      <c r="B28" s="40">
        <v>12345678910</v>
      </c>
      <c r="C28" s="41" t="s">
        <v>27</v>
      </c>
      <c r="D28" s="41" t="s">
        <v>62</v>
      </c>
      <c r="E28" s="42">
        <v>43775</v>
      </c>
    </row>
    <row r="29" spans="1:5" s="34" customFormat="1">
      <c r="E29" s="43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1048576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2" t="s">
        <v>55</v>
      </c>
      <c r="B1" s="32" t="s">
        <v>1</v>
      </c>
      <c r="C1" s="32" t="s">
        <v>56</v>
      </c>
      <c r="D1" s="32" t="s">
        <v>57</v>
      </c>
      <c r="E1" s="32" t="s">
        <v>68</v>
      </c>
      <c r="F1" s="27" t="s">
        <v>25</v>
      </c>
    </row>
    <row r="2" spans="1:12">
      <c r="A2" s="28" t="s">
        <v>26</v>
      </c>
      <c r="B2" s="26">
        <v>8244227427</v>
      </c>
      <c r="C2" s="25" t="s">
        <v>27</v>
      </c>
      <c r="D2" t="s">
        <v>62</v>
      </c>
      <c r="E2" s="10">
        <v>43545</v>
      </c>
      <c r="F2" s="33">
        <v>0.1</v>
      </c>
    </row>
    <row r="3" spans="1:12">
      <c r="A3" s="28" t="s">
        <v>28</v>
      </c>
      <c r="B3" s="26">
        <v>14042620752</v>
      </c>
      <c r="C3" s="25" t="s">
        <v>29</v>
      </c>
      <c r="D3" t="s">
        <v>63</v>
      </c>
      <c r="E3" s="10">
        <v>43555</v>
      </c>
      <c r="F3" s="33">
        <v>0.15</v>
      </c>
      <c r="H3" s="50"/>
    </row>
    <row r="4" spans="1:12">
      <c r="A4" s="28" t="s">
        <v>30</v>
      </c>
      <c r="B4" s="26">
        <v>6677993262</v>
      </c>
      <c r="C4" s="25" t="s">
        <v>31</v>
      </c>
      <c r="D4" t="s">
        <v>64</v>
      </c>
      <c r="E4" s="10">
        <v>43565</v>
      </c>
      <c r="F4" s="33">
        <v>0.02</v>
      </c>
      <c r="H4" s="51"/>
    </row>
    <row r="5" spans="1:12">
      <c r="A5" s="28" t="s">
        <v>32</v>
      </c>
      <c r="B5" s="26">
        <v>13481923178</v>
      </c>
      <c r="C5" s="25" t="s">
        <v>33</v>
      </c>
      <c r="D5" t="s">
        <v>65</v>
      </c>
      <c r="E5" s="10">
        <v>43575</v>
      </c>
      <c r="F5" s="33">
        <v>0.35</v>
      </c>
      <c r="H5" s="51"/>
      <c r="J5" s="50"/>
    </row>
    <row r="6" spans="1:12">
      <c r="A6" s="28" t="s">
        <v>34</v>
      </c>
      <c r="B6" s="26">
        <v>7303330974</v>
      </c>
      <c r="C6" s="25" t="s">
        <v>33</v>
      </c>
      <c r="D6" t="s">
        <v>65</v>
      </c>
      <c r="E6" s="10">
        <v>43585</v>
      </c>
      <c r="F6" s="33">
        <v>0.2</v>
      </c>
      <c r="H6" s="51"/>
      <c r="J6" s="51"/>
    </row>
    <row r="7" spans="1:12">
      <c r="A7" s="28" t="s">
        <v>35</v>
      </c>
      <c r="B7" s="26">
        <v>8534793687</v>
      </c>
      <c r="C7" s="25" t="s">
        <v>31</v>
      </c>
      <c r="D7" t="s">
        <v>64</v>
      </c>
      <c r="E7" s="10">
        <v>43595</v>
      </c>
      <c r="F7" s="33">
        <v>0.05</v>
      </c>
      <c r="H7" s="52"/>
      <c r="J7" s="51"/>
    </row>
    <row r="8" spans="1:12">
      <c r="A8" s="28" t="s">
        <v>69</v>
      </c>
      <c r="B8" s="26" t="s">
        <v>70</v>
      </c>
      <c r="C8" s="25" t="s">
        <v>71</v>
      </c>
      <c r="D8" s="7" t="s">
        <v>72</v>
      </c>
      <c r="E8" s="10">
        <v>45017</v>
      </c>
      <c r="F8" s="33">
        <v>0.55000000000000004</v>
      </c>
      <c r="H8" s="51"/>
      <c r="J8" s="51"/>
    </row>
    <row r="9" spans="1:12">
      <c r="A9" s="28" t="s">
        <v>77</v>
      </c>
      <c r="B9" s="26" t="s">
        <v>78</v>
      </c>
      <c r="C9" s="25" t="s">
        <v>79</v>
      </c>
      <c r="D9" s="7" t="s">
        <v>80</v>
      </c>
      <c r="E9" s="10">
        <v>45768</v>
      </c>
      <c r="F9" s="33">
        <v>0.1</v>
      </c>
      <c r="H9" s="53"/>
      <c r="I9" s="34"/>
      <c r="J9" s="54"/>
      <c r="K9" s="34"/>
      <c r="L9" s="34"/>
    </row>
    <row r="10" spans="1:12">
      <c r="A10" s="28"/>
      <c r="B10" s="26"/>
      <c r="C10" s="25"/>
      <c r="E10" s="10"/>
      <c r="H10" s="53"/>
      <c r="I10" s="34"/>
      <c r="J10" s="53"/>
      <c r="K10" s="34"/>
      <c r="L10" s="34"/>
    </row>
    <row r="11" spans="1:12">
      <c r="A11" s="28"/>
      <c r="B11" s="26"/>
      <c r="C11" s="25"/>
      <c r="E11" s="10"/>
      <c r="H11" s="54"/>
      <c r="I11" s="34"/>
      <c r="J11" s="53"/>
      <c r="K11" s="34"/>
      <c r="L11" s="34"/>
    </row>
    <row r="12" spans="1:12">
      <c r="A12" s="28"/>
      <c r="B12" s="26"/>
      <c r="C12" s="25"/>
      <c r="E12" s="10"/>
      <c r="H12" s="53"/>
      <c r="I12" s="34"/>
      <c r="J12" s="53"/>
      <c r="K12" s="34"/>
      <c r="L12" s="34"/>
    </row>
    <row r="13" spans="1:12">
      <c r="A13" s="28"/>
      <c r="B13" s="26"/>
      <c r="C13" s="25"/>
      <c r="E13" s="10"/>
      <c r="H13" s="53"/>
      <c r="I13" s="34"/>
      <c r="J13" s="54"/>
      <c r="K13" s="34"/>
      <c r="L13" s="34"/>
    </row>
    <row r="14" spans="1:12">
      <c r="A14" s="28"/>
      <c r="B14" s="26"/>
      <c r="C14" s="25"/>
      <c r="E14" s="10"/>
      <c r="H14" s="53"/>
      <c r="I14" s="34"/>
      <c r="J14" s="53"/>
      <c r="K14" s="34"/>
      <c r="L14" s="34"/>
    </row>
    <row r="15" spans="1:12">
      <c r="A15" s="28"/>
      <c r="B15" s="26"/>
      <c r="C15" s="25"/>
      <c r="E15" s="10"/>
      <c r="H15" s="34"/>
      <c r="I15" s="34"/>
      <c r="J15" s="53"/>
      <c r="K15" s="34"/>
      <c r="L15" s="34"/>
    </row>
    <row r="16" spans="1:12">
      <c r="A16" s="28"/>
      <c r="B16" s="26"/>
      <c r="C16" s="25"/>
      <c r="E16" s="10"/>
      <c r="H16" s="34"/>
      <c r="I16" s="34"/>
      <c r="J16" s="53"/>
      <c r="K16" s="34"/>
      <c r="L16" s="34"/>
    </row>
    <row r="17" spans="1:12">
      <c r="A17" s="28"/>
      <c r="B17" s="26"/>
      <c r="C17" s="25"/>
      <c r="E17" s="10"/>
      <c r="H17" s="34"/>
      <c r="I17" s="34"/>
      <c r="J17" s="34"/>
      <c r="K17" s="34"/>
      <c r="L17" s="34"/>
    </row>
    <row r="18" spans="1:12">
      <c r="A18" s="28"/>
      <c r="B18" s="26"/>
      <c r="C18" s="25"/>
      <c r="E18" s="10"/>
      <c r="H18" s="34"/>
      <c r="I18" s="34"/>
      <c r="J18" s="34"/>
      <c r="K18" s="34"/>
      <c r="L18" s="34"/>
    </row>
    <row r="19" spans="1:12">
      <c r="A19" s="28"/>
      <c r="B19" s="26"/>
      <c r="C19" s="25"/>
      <c r="E19" s="10"/>
      <c r="H19" s="34"/>
      <c r="I19" s="34"/>
      <c r="J19" s="34"/>
      <c r="K19" s="34"/>
      <c r="L19" s="34"/>
    </row>
    <row r="20" spans="1:12">
      <c r="A20" s="28"/>
      <c r="B20" s="26"/>
      <c r="C20" s="25"/>
      <c r="E20" s="10"/>
      <c r="H20" s="34"/>
      <c r="I20" s="34"/>
      <c r="J20" s="34"/>
      <c r="K20" s="34"/>
      <c r="L20" s="34"/>
    </row>
    <row r="21" spans="1:12">
      <c r="A21" s="28"/>
      <c r="B21" s="26"/>
      <c r="C21" s="25"/>
      <c r="E21" s="10"/>
    </row>
    <row r="22" spans="1:12">
      <c r="A22" s="28"/>
      <c r="B22" s="26"/>
      <c r="C22" s="25"/>
      <c r="E22" s="10"/>
    </row>
    <row r="23" spans="1:12">
      <c r="A23" s="28"/>
      <c r="B23" s="26"/>
      <c r="C23" s="25"/>
      <c r="E23" s="10"/>
    </row>
    <row r="24" spans="1:12">
      <c r="A24" s="29"/>
      <c r="B24" s="31"/>
      <c r="C24" s="30"/>
      <c r="E24" s="10"/>
    </row>
    <row r="25" spans="1:12">
      <c r="A25" s="29"/>
      <c r="B25" s="31"/>
      <c r="C25" s="30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6" topLeftCell="N17" activePane="bottomRight" state="frozen"/>
      <selection pane="topRight" activeCell="N1" sqref="N1"/>
      <selection pane="bottomLeft" activeCell="A17" sqref="A17"/>
      <selection pane="bottomRight" activeCell="F6" sqref="F6"/>
    </sheetView>
  </sheetViews>
  <sheetFormatPr defaultColWidth="8.7109375" defaultRowHeight="15" zeroHeight="1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5.85546875" style="3" bestFit="1" customWidth="1"/>
    <col min="8" max="8" width="10.42578125" style="3" customWidth="1"/>
    <col min="9" max="9" width="13" style="3" customWidth="1"/>
    <col min="10" max="10" width="4.8554687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4" width="8.7109375" style="3"/>
    <col min="15" max="15" width="0" style="3" hidden="1" customWidth="1"/>
    <col min="16" max="16" width="16.28515625" style="3" hidden="1" customWidth="1"/>
    <col min="17" max="18" width="10.85546875" style="3" hidden="1" customWidth="1"/>
    <col min="19" max="20" width="10.42578125" style="3" hidden="1" customWidth="1"/>
    <col min="21" max="21" width="14" style="3" hidden="1" customWidth="1"/>
    <col min="22" max="22" width="11.5703125" style="71" hidden="1" customWidth="1"/>
    <col min="23" max="23" width="10.140625" style="71" hidden="1" customWidth="1"/>
    <col min="24" max="24" width="14.28515625" style="3" hidden="1" customWidth="1"/>
    <col min="25" max="29" width="0" style="3" hidden="1" customWidth="1"/>
    <col min="30" max="16384" width="8.710937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8" t="s">
        <v>11</v>
      </c>
      <c r="T1" s="22" t="s">
        <v>82</v>
      </c>
      <c r="U1" s="22" t="s">
        <v>23</v>
      </c>
      <c r="V1" s="68" t="s">
        <v>7</v>
      </c>
      <c r="W1" s="68" t="s">
        <v>76</v>
      </c>
      <c r="X1" s="22" t="s">
        <v>9</v>
      </c>
      <c r="Y1" s="22" t="s">
        <v>19</v>
      </c>
      <c r="Z1" s="22" t="s">
        <v>20</v>
      </c>
      <c r="AA1" s="69" t="s">
        <v>21</v>
      </c>
      <c r="AB1" s="69" t="s">
        <v>22</v>
      </c>
    </row>
    <row r="2" spans="1:28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72" t="str">
        <f t="shared" ref="P2:P7" si="0">IF(G7&lt;&gt;"",$C$6,"")</f>
        <v/>
      </c>
      <c r="Q2" s="72" t="str">
        <f>IF(G7&lt;&gt;"",$C$8,"")</f>
        <v/>
      </c>
      <c r="R2" s="72" t="str">
        <f>IF(G7&lt;&gt;"",$F$6,"")</f>
        <v/>
      </c>
      <c r="S2" s="73" t="str">
        <f>IF(G7&lt;&gt;"",$F$7,"")</f>
        <v/>
      </c>
      <c r="T2" s="73" t="str">
        <f>IF(G7&lt;&gt;"",H7,"")</f>
        <v/>
      </c>
      <c r="U2" s="74" t="str">
        <f>IF(G7&lt;&gt;"",$F$9,"")</f>
        <v/>
      </c>
      <c r="V2" s="75" t="str">
        <f>IF(G7&lt;&gt;"",$F$11,"")</f>
        <v/>
      </c>
      <c r="W2" s="75" t="str">
        <f>IF(G7&lt;&gt;"",G7,"")</f>
        <v/>
      </c>
      <c r="X2" s="74" t="str">
        <f>IF(G7&lt;&gt;"",$F$12,"")</f>
        <v/>
      </c>
      <c r="Y2" s="70" t="str">
        <f>IF(G7&lt;&gt;"",MONTH(S2),"")</f>
        <v/>
      </c>
      <c r="Z2" s="70" t="str">
        <f>IF(G7&lt;&gt;"",YEAR(S2),"")</f>
        <v/>
      </c>
      <c r="AA2" s="70" t="str">
        <f>IF(G7&lt;&gt;"",MONTH(T2),"")</f>
        <v/>
      </c>
      <c r="AB2" s="70" t="str">
        <f>IF(G7&lt;&gt;"",YEAR(T2),"")</f>
        <v/>
      </c>
    </row>
    <row r="3" spans="1:28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72" t="str">
        <f t="shared" si="0"/>
        <v/>
      </c>
      <c r="Q3" s="72" t="str">
        <f t="shared" ref="Q3:Q7" si="1">IF(G8&lt;&gt;"",$C$8,"")</f>
        <v/>
      </c>
      <c r="R3" s="72" t="str">
        <f t="shared" ref="R3:R7" si="2">IF(G8&lt;&gt;"",$F$6,"")</f>
        <v/>
      </c>
      <c r="S3" s="73" t="str">
        <f t="shared" ref="S3:S7" si="3">IF(G8&lt;&gt;"",$F$7,"")</f>
        <v/>
      </c>
      <c r="T3" s="73" t="str">
        <f t="shared" ref="T3:T7" si="4">IF(G8&lt;&gt;"",H8,"")</f>
        <v/>
      </c>
      <c r="U3" s="74" t="str">
        <f t="shared" ref="U3:U7" si="5">IF(G8&lt;&gt;"",$F$9,"")</f>
        <v/>
      </c>
      <c r="V3" s="75" t="str">
        <f t="shared" ref="V3:V7" si="6">IF(G8&lt;&gt;"",$F$11,"")</f>
        <v/>
      </c>
      <c r="W3" s="75" t="str">
        <f t="shared" ref="W3:W7" si="7">IF(G8&lt;&gt;"",G8,"")</f>
        <v/>
      </c>
      <c r="X3" s="74" t="str">
        <f t="shared" ref="X3:X7" si="8">IF(G8&lt;&gt;"",$F$12,"")</f>
        <v/>
      </c>
      <c r="Y3" s="70" t="str">
        <f t="shared" ref="Y3:Y7" si="9">IF(G8&lt;&gt;"",MONTH(S3),"")</f>
        <v/>
      </c>
      <c r="Z3" s="70" t="str">
        <f t="shared" ref="Z3:Z7" si="10">IF(G8&lt;&gt;"",YEAR(S3),"")</f>
        <v/>
      </c>
      <c r="AA3" s="70" t="str">
        <f t="shared" ref="AA3:AA7" si="11">IF(G8&lt;&gt;"",MONTH(T3),"")</f>
        <v/>
      </c>
      <c r="AB3" s="70" t="str">
        <f t="shared" ref="AB3:AB7" si="12">IF(G8&lt;&gt;"",YEAR(T3),"")</f>
        <v/>
      </c>
    </row>
    <row r="4" spans="1:28" ht="20.100000000000001" customHeight="1" thickBot="1">
      <c r="A4" s="2"/>
      <c r="B4" s="5" t="s">
        <v>4</v>
      </c>
      <c r="C4" s="149"/>
      <c r="D4" s="4"/>
      <c r="E4" s="4"/>
      <c r="F4" s="6" t="s">
        <v>81</v>
      </c>
      <c r="G4" s="150"/>
      <c r="H4" s="66"/>
      <c r="I4" s="67"/>
      <c r="J4" s="142" t="s">
        <v>25</v>
      </c>
      <c r="K4" s="142"/>
      <c r="L4" s="59" t="e">
        <f>VLOOKUP(G4,Tabela134[],6,'DADOS FUNCIONÁRIOS'!L270)</f>
        <v>#N/A</v>
      </c>
      <c r="M4" s="4"/>
      <c r="N4" s="2"/>
      <c r="P4" s="72" t="str">
        <f t="shared" si="0"/>
        <v/>
      </c>
      <c r="Q4" s="72" t="str">
        <f t="shared" si="1"/>
        <v/>
      </c>
      <c r="R4" s="72" t="str">
        <f t="shared" si="2"/>
        <v/>
      </c>
      <c r="S4" s="73" t="str">
        <f t="shared" si="3"/>
        <v/>
      </c>
      <c r="T4" s="73" t="str">
        <f t="shared" si="4"/>
        <v/>
      </c>
      <c r="U4" s="74" t="str">
        <f t="shared" si="5"/>
        <v/>
      </c>
      <c r="V4" s="75" t="str">
        <f t="shared" si="6"/>
        <v/>
      </c>
      <c r="W4" s="75" t="str">
        <f t="shared" si="7"/>
        <v/>
      </c>
      <c r="X4" s="74" t="str">
        <f t="shared" si="8"/>
        <v/>
      </c>
      <c r="Y4" s="70" t="str">
        <f t="shared" si="9"/>
        <v/>
      </c>
      <c r="Z4" s="70" t="str">
        <f t="shared" si="10"/>
        <v/>
      </c>
      <c r="AA4" s="70" t="str">
        <f t="shared" si="11"/>
        <v/>
      </c>
      <c r="AB4" s="70" t="str">
        <f t="shared" si="12"/>
        <v/>
      </c>
    </row>
    <row r="5" spans="1:28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72" t="str">
        <f t="shared" si="0"/>
        <v/>
      </c>
      <c r="Q5" s="72" t="str">
        <f t="shared" si="1"/>
        <v/>
      </c>
      <c r="R5" s="72" t="str">
        <f t="shared" si="2"/>
        <v/>
      </c>
      <c r="S5" s="73" t="str">
        <f t="shared" si="3"/>
        <v/>
      </c>
      <c r="T5" s="73" t="str">
        <f t="shared" si="4"/>
        <v/>
      </c>
      <c r="U5" s="74" t="str">
        <f t="shared" si="5"/>
        <v/>
      </c>
      <c r="V5" s="75" t="str">
        <f t="shared" si="6"/>
        <v/>
      </c>
      <c r="W5" s="75" t="str">
        <f t="shared" si="7"/>
        <v/>
      </c>
      <c r="X5" s="74" t="str">
        <f t="shared" si="8"/>
        <v/>
      </c>
      <c r="Y5" s="70" t="str">
        <f t="shared" si="9"/>
        <v/>
      </c>
      <c r="Z5" s="70" t="str">
        <f t="shared" si="10"/>
        <v/>
      </c>
      <c r="AA5" s="70" t="str">
        <f t="shared" si="11"/>
        <v/>
      </c>
      <c r="AB5" s="70" t="str">
        <f t="shared" si="12"/>
        <v/>
      </c>
    </row>
    <row r="6" spans="1:28" ht="20.100000000000001" customHeight="1" thickBot="1">
      <c r="A6" s="2"/>
      <c r="B6" s="5" t="s">
        <v>0</v>
      </c>
      <c r="C6" s="63" t="str">
        <f>IFERROR(VLOOKUP("*"&amp;C4&amp;"*",'DADOS CLIENTES'!A:D,1,0),"ERRO")</f>
        <v>Nome</v>
      </c>
      <c r="D6" s="4"/>
      <c r="E6" s="6" t="s">
        <v>6</v>
      </c>
      <c r="F6" s="151"/>
      <c r="G6" s="140" t="s">
        <v>8</v>
      </c>
      <c r="H6" s="140"/>
      <c r="I6" s="140"/>
      <c r="J6" s="140"/>
      <c r="K6" s="140"/>
      <c r="L6" s="141"/>
      <c r="M6" s="4"/>
      <c r="N6" s="2"/>
      <c r="P6" s="72" t="str">
        <f t="shared" si="0"/>
        <v/>
      </c>
      <c r="Q6" s="72" t="str">
        <f t="shared" si="1"/>
        <v/>
      </c>
      <c r="R6" s="72" t="str">
        <f t="shared" si="2"/>
        <v/>
      </c>
      <c r="S6" s="73" t="str">
        <f t="shared" si="3"/>
        <v/>
      </c>
      <c r="T6" s="73" t="str">
        <f t="shared" si="4"/>
        <v/>
      </c>
      <c r="U6" s="74" t="str">
        <f t="shared" si="5"/>
        <v/>
      </c>
      <c r="V6" s="75" t="str">
        <f t="shared" si="6"/>
        <v/>
      </c>
      <c r="W6" s="75" t="str">
        <f t="shared" si="7"/>
        <v/>
      </c>
      <c r="X6" s="74" t="str">
        <f t="shared" si="8"/>
        <v/>
      </c>
      <c r="Y6" s="70" t="str">
        <f t="shared" si="9"/>
        <v/>
      </c>
      <c r="Z6" s="70" t="str">
        <f t="shared" si="10"/>
        <v/>
      </c>
      <c r="AA6" s="70" t="str">
        <f t="shared" si="11"/>
        <v/>
      </c>
      <c r="AB6" s="70" t="str">
        <f t="shared" si="12"/>
        <v/>
      </c>
    </row>
    <row r="7" spans="1:28" ht="20.100000000000001" customHeight="1" thickBot="1">
      <c r="A7" s="2"/>
      <c r="B7" s="5"/>
      <c r="C7" s="4"/>
      <c r="D7" s="4"/>
      <c r="E7" s="6" t="s">
        <v>17</v>
      </c>
      <c r="F7" s="152"/>
      <c r="G7" s="90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90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72" t="str">
        <f t="shared" si="0"/>
        <v/>
      </c>
      <c r="Q7" s="72" t="str">
        <f t="shared" si="1"/>
        <v/>
      </c>
      <c r="R7" s="72" t="str">
        <f t="shared" si="2"/>
        <v/>
      </c>
      <c r="S7" s="73" t="str">
        <f t="shared" si="3"/>
        <v/>
      </c>
      <c r="T7" s="73" t="str">
        <f t="shared" si="4"/>
        <v/>
      </c>
      <c r="U7" s="74" t="str">
        <f t="shared" si="5"/>
        <v/>
      </c>
      <c r="V7" s="75" t="str">
        <f t="shared" si="6"/>
        <v/>
      </c>
      <c r="W7" s="75" t="str">
        <f t="shared" si="7"/>
        <v/>
      </c>
      <c r="X7" s="74" t="str">
        <f t="shared" si="8"/>
        <v/>
      </c>
      <c r="Y7" s="70" t="str">
        <f t="shared" si="9"/>
        <v/>
      </c>
      <c r="Z7" s="70" t="str">
        <f t="shared" si="10"/>
        <v/>
      </c>
      <c r="AA7" s="70" t="str">
        <f t="shared" si="11"/>
        <v/>
      </c>
      <c r="AB7" s="70" t="str">
        <f t="shared" si="12"/>
        <v/>
      </c>
    </row>
    <row r="8" spans="1:28" ht="20.100000000000001" customHeight="1" thickBot="1">
      <c r="A8" s="2"/>
      <c r="B8" s="5" t="s">
        <v>1</v>
      </c>
      <c r="C8" s="65" t="str">
        <f>IFERROR(VLOOKUP("*"&amp;C4&amp;"*",'DADOS CLIENTES'!A:Z,2,0),"ERRO")</f>
        <v>CPF</v>
      </c>
      <c r="D8" s="4"/>
      <c r="E8" s="6" t="s">
        <v>73</v>
      </c>
      <c r="F8" s="60">
        <f>G4</f>
        <v>0</v>
      </c>
      <c r="G8" s="90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90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72" t="str">
        <f t="shared" ref="P8:P13" si="15">IF(J7&lt;&gt;"",$C$6,"")</f>
        <v/>
      </c>
      <c r="Q8" s="72" t="str">
        <f>IF(J7&lt;&gt;"",$C$8,"")</f>
        <v/>
      </c>
      <c r="R8" s="72" t="str">
        <f>IF(J7&lt;&gt;"",$F$6,"")</f>
        <v/>
      </c>
      <c r="S8" s="73" t="str">
        <f>IF(J7&lt;&gt;"",$F$7,"")</f>
        <v/>
      </c>
      <c r="T8" s="73" t="str">
        <f>IF(J7&lt;&gt;"",K7,"")</f>
        <v/>
      </c>
      <c r="U8" s="74" t="str">
        <f>IF(J7&lt;&gt;"",$F$9,"")</f>
        <v/>
      </c>
      <c r="V8" s="75" t="str">
        <f>IF(J7&lt;&gt;"",$F$11,"")</f>
        <v/>
      </c>
      <c r="W8" s="75" t="str">
        <f>IF(J7&lt;&gt;"",J7,"")</f>
        <v/>
      </c>
      <c r="X8" s="74" t="str">
        <f>IF(J7&lt;&gt;"",$F$12,"")</f>
        <v/>
      </c>
      <c r="Y8" s="70" t="str">
        <f>IF(J7&lt;&gt;"",MONTH(S8),"")</f>
        <v/>
      </c>
      <c r="Z8" s="70" t="str">
        <f>IF(J7&lt;&gt;"",YEAR(S8),"")</f>
        <v/>
      </c>
      <c r="AA8" s="70" t="str">
        <f>IF(J7&lt;&gt;"",MONTH(T8),"")</f>
        <v/>
      </c>
      <c r="AB8" s="70" t="str">
        <f>IF(J7&lt;&gt;"",YEAR(T8),"")</f>
        <v/>
      </c>
    </row>
    <row r="9" spans="1:28" ht="20.100000000000001" customHeight="1" thickBot="1">
      <c r="A9" s="2"/>
      <c r="B9" s="5"/>
      <c r="C9" s="4"/>
      <c r="D9" s="4"/>
      <c r="E9" s="6" t="s">
        <v>75</v>
      </c>
      <c r="F9" s="153"/>
      <c r="G9" s="90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90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72" t="str">
        <f t="shared" si="15"/>
        <v/>
      </c>
      <c r="Q9" s="72" t="str">
        <f t="shared" ref="Q9:Q13" si="20">IF(J8&lt;&gt;"",$C$8,"")</f>
        <v/>
      </c>
      <c r="R9" s="72" t="str">
        <f t="shared" ref="R9:R13" si="21">IF(J8&lt;&gt;"",$F$6,"")</f>
        <v/>
      </c>
      <c r="S9" s="73" t="str">
        <f t="shared" ref="S9:S13" si="22">IF(J8&lt;&gt;"",$F$7,"")</f>
        <v/>
      </c>
      <c r="T9" s="73" t="str">
        <f t="shared" ref="T9:T13" si="23">IF(J8&lt;&gt;"",K8,"")</f>
        <v/>
      </c>
      <c r="U9" s="74" t="str">
        <f t="shared" ref="U9:U13" si="24">IF(J8&lt;&gt;"",$F$9,"")</f>
        <v/>
      </c>
      <c r="V9" s="75" t="str">
        <f t="shared" ref="V9:V13" si="25">IF(J8&lt;&gt;"",$F$11,"")</f>
        <v/>
      </c>
      <c r="W9" s="75" t="str">
        <f t="shared" ref="W9:W13" si="26">IF(J8&lt;&gt;"",J8,"")</f>
        <v/>
      </c>
      <c r="X9" s="74" t="str">
        <f t="shared" ref="X9:X13" si="27">IF(J8&lt;&gt;"",$F$12,"")</f>
        <v/>
      </c>
      <c r="Y9" s="70" t="str">
        <f t="shared" ref="Y9:Y13" si="28">IF(J8&lt;&gt;"",MONTH(S9),"")</f>
        <v/>
      </c>
      <c r="Z9" s="70" t="str">
        <f t="shared" ref="Z9:Z13" si="29">IF(J8&lt;&gt;"",YEAR(S9),"")</f>
        <v/>
      </c>
      <c r="AA9" s="70" t="str">
        <f t="shared" ref="AA9:AA13" si="30">IF(J8&lt;&gt;"",MONTH(T9),"")</f>
        <v/>
      </c>
      <c r="AB9" s="70" t="str">
        <f t="shared" ref="AB9:AB13" si="31">IF(J8&lt;&gt;"",YEAR(T9),"")</f>
        <v/>
      </c>
    </row>
    <row r="10" spans="1:28" ht="20.100000000000001" customHeight="1" thickBot="1">
      <c r="A10" s="2"/>
      <c r="B10" s="5" t="s">
        <v>2</v>
      </c>
      <c r="C10" s="63" t="str">
        <f>IFERROR(VLOOKUP("*"&amp;C4&amp;"*",'DADOS CLIENTES'!A:D,3,0),"ERRO")</f>
        <v>CARGO</v>
      </c>
      <c r="D10" s="4"/>
      <c r="E10" s="6" t="s">
        <v>74</v>
      </c>
      <c r="F10" s="61" t="e">
        <f>F9*L4</f>
        <v>#N/A</v>
      </c>
      <c r="G10" s="90" t="str">
        <f t="shared" si="16"/>
        <v/>
      </c>
      <c r="H10" s="18" t="e">
        <f t="shared" si="17"/>
        <v>#VALUE!</v>
      </c>
      <c r="I10" s="12">
        <f t="shared" si="13"/>
        <v>0</v>
      </c>
      <c r="J10" s="90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72" t="str">
        <f t="shared" si="15"/>
        <v/>
      </c>
      <c r="Q10" s="72" t="str">
        <f t="shared" si="20"/>
        <v/>
      </c>
      <c r="R10" s="72" t="str">
        <f t="shared" si="21"/>
        <v/>
      </c>
      <c r="S10" s="73" t="str">
        <f t="shared" si="22"/>
        <v/>
      </c>
      <c r="T10" s="73" t="str">
        <f t="shared" si="23"/>
        <v/>
      </c>
      <c r="U10" s="74" t="str">
        <f t="shared" si="24"/>
        <v/>
      </c>
      <c r="V10" s="75" t="str">
        <f t="shared" si="25"/>
        <v/>
      </c>
      <c r="W10" s="75" t="str">
        <f t="shared" si="26"/>
        <v/>
      </c>
      <c r="X10" s="74" t="str">
        <f t="shared" si="27"/>
        <v/>
      </c>
      <c r="Y10" s="70" t="str">
        <f t="shared" si="28"/>
        <v/>
      </c>
      <c r="Z10" s="70" t="str">
        <f t="shared" si="29"/>
        <v/>
      </c>
      <c r="AA10" s="70" t="str">
        <f t="shared" si="30"/>
        <v/>
      </c>
      <c r="AB10" s="70" t="str">
        <f t="shared" si="31"/>
        <v/>
      </c>
    </row>
    <row r="11" spans="1:28" ht="20.100000000000001" customHeight="1" thickBot="1">
      <c r="A11" s="2"/>
      <c r="B11" s="5"/>
      <c r="C11" s="4"/>
      <c r="D11" s="6"/>
      <c r="E11" s="6" t="s">
        <v>18</v>
      </c>
      <c r="F11" s="154"/>
      <c r="G11" s="90" t="str">
        <f t="shared" si="16"/>
        <v/>
      </c>
      <c r="H11" s="18" t="e">
        <f t="shared" si="17"/>
        <v>#VALUE!</v>
      </c>
      <c r="I11" s="12">
        <f t="shared" si="13"/>
        <v>0</v>
      </c>
      <c r="J11" s="90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72" t="str">
        <f t="shared" si="15"/>
        <v/>
      </c>
      <c r="Q11" s="72" t="str">
        <f t="shared" si="20"/>
        <v/>
      </c>
      <c r="R11" s="72" t="str">
        <f t="shared" si="21"/>
        <v/>
      </c>
      <c r="S11" s="73" t="str">
        <f t="shared" si="22"/>
        <v/>
      </c>
      <c r="T11" s="73" t="str">
        <f t="shared" si="23"/>
        <v/>
      </c>
      <c r="U11" s="74" t="str">
        <f t="shared" si="24"/>
        <v/>
      </c>
      <c r="V11" s="75" t="str">
        <f t="shared" si="25"/>
        <v/>
      </c>
      <c r="W11" s="75" t="str">
        <f t="shared" si="26"/>
        <v/>
      </c>
      <c r="X11" s="74" t="str">
        <f t="shared" si="27"/>
        <v/>
      </c>
      <c r="Y11" s="70" t="str">
        <f t="shared" si="28"/>
        <v/>
      </c>
      <c r="Z11" s="70" t="str">
        <f t="shared" si="29"/>
        <v/>
      </c>
      <c r="AA11" s="70" t="str">
        <f t="shared" si="30"/>
        <v/>
      </c>
      <c r="AB11" s="70" t="str">
        <f t="shared" si="31"/>
        <v/>
      </c>
    </row>
    <row r="12" spans="1:28" ht="20.100000000000001" customHeight="1" thickBot="1">
      <c r="A12" s="2"/>
      <c r="B12" s="5" t="s">
        <v>3</v>
      </c>
      <c r="C12" s="63" t="str">
        <f>IFERROR(VLOOKUP("*"&amp;C4&amp;"*",'DADOS CLIENTES'!A:D,4,0),"ERRO")</f>
        <v>EMAIL</v>
      </c>
      <c r="D12" s="4"/>
      <c r="E12" s="6" t="s">
        <v>10</v>
      </c>
      <c r="F12" s="62">
        <f>IF(F11&gt;0,F9/F11,0)</f>
        <v>0</v>
      </c>
      <c r="G12" s="90" t="str">
        <f t="shared" si="16"/>
        <v/>
      </c>
      <c r="H12" s="19" t="e">
        <f t="shared" si="17"/>
        <v>#VALUE!</v>
      </c>
      <c r="I12" s="13">
        <f t="shared" si="13"/>
        <v>0</v>
      </c>
      <c r="J12" s="90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72" t="str">
        <f t="shared" si="15"/>
        <v/>
      </c>
      <c r="Q12" s="72" t="str">
        <f t="shared" si="20"/>
        <v/>
      </c>
      <c r="R12" s="72" t="str">
        <f t="shared" si="21"/>
        <v/>
      </c>
      <c r="S12" s="73" t="str">
        <f t="shared" si="22"/>
        <v/>
      </c>
      <c r="T12" s="73" t="str">
        <f t="shared" si="23"/>
        <v/>
      </c>
      <c r="U12" s="74" t="str">
        <f t="shared" si="24"/>
        <v/>
      </c>
      <c r="V12" s="75" t="str">
        <f t="shared" si="25"/>
        <v/>
      </c>
      <c r="W12" s="75" t="str">
        <f t="shared" si="26"/>
        <v/>
      </c>
      <c r="X12" s="74" t="str">
        <f t="shared" si="27"/>
        <v/>
      </c>
      <c r="Y12" s="70" t="str">
        <f t="shared" si="28"/>
        <v/>
      </c>
      <c r="Z12" s="70" t="str">
        <f t="shared" si="29"/>
        <v/>
      </c>
      <c r="AA12" s="70" t="str">
        <f t="shared" si="30"/>
        <v/>
      </c>
      <c r="AB12" s="70" t="str">
        <f t="shared" si="31"/>
        <v/>
      </c>
    </row>
    <row r="13" spans="1:28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72" t="str">
        <f t="shared" si="15"/>
        <v/>
      </c>
      <c r="Q13" s="72" t="str">
        <f t="shared" si="20"/>
        <v/>
      </c>
      <c r="R13" s="72" t="str">
        <f t="shared" si="21"/>
        <v/>
      </c>
      <c r="S13" s="73" t="str">
        <f t="shared" si="22"/>
        <v/>
      </c>
      <c r="T13" s="73" t="str">
        <f t="shared" si="23"/>
        <v/>
      </c>
      <c r="U13" s="74" t="str">
        <f t="shared" si="24"/>
        <v/>
      </c>
      <c r="V13" s="75" t="str">
        <f t="shared" si="25"/>
        <v/>
      </c>
      <c r="W13" s="75" t="str">
        <f t="shared" si="26"/>
        <v/>
      </c>
      <c r="X13" s="74" t="str">
        <f t="shared" si="27"/>
        <v/>
      </c>
      <c r="Y13" s="70" t="str">
        <f t="shared" si="28"/>
        <v/>
      </c>
      <c r="Z13" s="70" t="str">
        <f t="shared" si="29"/>
        <v/>
      </c>
      <c r="AA13" s="70" t="str">
        <f t="shared" si="30"/>
        <v/>
      </c>
      <c r="AB13" s="70" t="str">
        <f t="shared" si="31"/>
        <v/>
      </c>
    </row>
    <row r="14" spans="1:28" ht="15.75" thickBot="1">
      <c r="A14" s="2"/>
      <c r="B14" s="5" t="s">
        <v>14</v>
      </c>
      <c r="C14" s="64" t="str">
        <f>IFERROR(VLOOKUP("*"&amp;C4&amp;"*",'DADOS CLIENTES'!A:V,5,0),"ERRO")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heet="1" objects="1" scenarios="1" selectLockedCells="1"/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M246"/>
  <sheetViews>
    <sheetView workbookViewId="0"/>
  </sheetViews>
  <sheetFormatPr defaultColWidth="0" defaultRowHeight="15"/>
  <cols>
    <col min="1" max="1" width="19.5703125" bestFit="1" customWidth="1"/>
    <col min="2" max="2" width="15.140625" bestFit="1" customWidth="1"/>
    <col min="3" max="3" width="15.5703125" bestFit="1" customWidth="1"/>
    <col min="4" max="4" width="13.5703125" style="10" customWidth="1"/>
    <col min="5" max="5" width="15.140625" style="9" customWidth="1"/>
    <col min="6" max="6" width="23.7109375" style="82" bestFit="1" customWidth="1"/>
    <col min="7" max="7" width="12.5703125" style="71" bestFit="1" customWidth="1"/>
    <col min="8" max="8" width="13.5703125" style="23" bestFit="1" customWidth="1"/>
    <col min="9" max="9" width="17.7109375" style="82" bestFit="1" customWidth="1"/>
    <col min="10" max="10" width="15" bestFit="1" customWidth="1"/>
    <col min="11" max="11" width="15.5703125" bestFit="1" customWidth="1"/>
    <col min="12" max="12" width="16.85546875" bestFit="1" customWidth="1"/>
    <col min="13" max="14" width="16.85546875" customWidth="1"/>
    <col min="15" max="16384" width="16.85546875" hidden="1"/>
  </cols>
  <sheetData>
    <row r="1" spans="1:13" ht="15.75" thickBot="1">
      <c r="A1" s="21" t="s">
        <v>5</v>
      </c>
      <c r="B1" s="22" t="s">
        <v>1</v>
      </c>
      <c r="C1" s="22" t="s">
        <v>6</v>
      </c>
      <c r="D1" s="78" t="s">
        <v>11</v>
      </c>
      <c r="E1" s="58" t="s">
        <v>82</v>
      </c>
      <c r="F1" s="80" t="s">
        <v>23</v>
      </c>
      <c r="G1" s="83" t="s">
        <v>7</v>
      </c>
      <c r="H1" s="68" t="s">
        <v>76</v>
      </c>
      <c r="I1" s="80" t="s">
        <v>9</v>
      </c>
      <c r="J1" s="22" t="s">
        <v>19</v>
      </c>
      <c r="K1" s="22" t="s">
        <v>20</v>
      </c>
      <c r="L1" s="69" t="s">
        <v>21</v>
      </c>
      <c r="M1" s="69" t="s">
        <v>22</v>
      </c>
    </row>
    <row r="2" spans="1:13">
      <c r="A2" s="24" t="s">
        <v>12</v>
      </c>
      <c r="B2" s="24">
        <v>202020202020</v>
      </c>
      <c r="C2" s="24" t="s">
        <v>97</v>
      </c>
      <c r="D2" s="79">
        <v>45443</v>
      </c>
      <c r="E2" s="77">
        <v>45473</v>
      </c>
      <c r="F2" s="81">
        <v>564</v>
      </c>
      <c r="G2" s="84">
        <v>8</v>
      </c>
      <c r="H2" s="76">
        <v>1</v>
      </c>
      <c r="I2" s="81">
        <v>70.5</v>
      </c>
      <c r="J2" s="24">
        <v>5</v>
      </c>
      <c r="K2" s="24">
        <v>2024</v>
      </c>
      <c r="L2" s="24">
        <v>6</v>
      </c>
      <c r="M2" s="24">
        <v>2024</v>
      </c>
    </row>
    <row r="3" spans="1:13">
      <c r="A3" s="24" t="s">
        <v>12</v>
      </c>
      <c r="B3" s="24">
        <v>202020202020</v>
      </c>
      <c r="C3" s="24" t="s">
        <v>97</v>
      </c>
      <c r="D3" s="79">
        <v>45443</v>
      </c>
      <c r="E3" s="77">
        <v>45503</v>
      </c>
      <c r="F3" s="81">
        <v>564</v>
      </c>
      <c r="G3" s="84">
        <v>8</v>
      </c>
      <c r="H3" s="76">
        <v>2</v>
      </c>
      <c r="I3" s="81">
        <v>70.5</v>
      </c>
      <c r="J3" s="24">
        <v>5</v>
      </c>
      <c r="K3" s="24">
        <v>2024</v>
      </c>
      <c r="L3" s="24">
        <v>7</v>
      </c>
      <c r="M3" s="24">
        <v>2024</v>
      </c>
    </row>
    <row r="4" spans="1:13">
      <c r="A4" s="24" t="s">
        <v>12</v>
      </c>
      <c r="B4" s="24">
        <v>202020202020</v>
      </c>
      <c r="C4" s="24" t="s">
        <v>97</v>
      </c>
      <c r="D4" s="79">
        <v>45443</v>
      </c>
      <c r="E4" s="77">
        <v>45534</v>
      </c>
      <c r="F4" s="81">
        <v>564</v>
      </c>
      <c r="G4" s="84">
        <v>8</v>
      </c>
      <c r="H4" s="76">
        <v>3</v>
      </c>
      <c r="I4" s="81">
        <v>70.5</v>
      </c>
      <c r="J4" s="24">
        <v>5</v>
      </c>
      <c r="K4" s="24">
        <v>2024</v>
      </c>
      <c r="L4" s="24">
        <v>8</v>
      </c>
      <c r="M4" s="24">
        <v>2024</v>
      </c>
    </row>
    <row r="5" spans="1:13">
      <c r="A5" s="24" t="s">
        <v>12</v>
      </c>
      <c r="B5" s="24">
        <v>202020202020</v>
      </c>
      <c r="C5" s="24" t="s">
        <v>97</v>
      </c>
      <c r="D5" s="79">
        <v>45443</v>
      </c>
      <c r="E5" s="77">
        <v>45565</v>
      </c>
      <c r="F5" s="81">
        <v>564</v>
      </c>
      <c r="G5" s="84">
        <v>8</v>
      </c>
      <c r="H5" s="76">
        <v>4</v>
      </c>
      <c r="I5" s="81">
        <v>70.5</v>
      </c>
      <c r="J5" s="24">
        <v>5</v>
      </c>
      <c r="K5" s="24">
        <v>2024</v>
      </c>
      <c r="L5" s="24">
        <v>9</v>
      </c>
      <c r="M5" s="24">
        <v>2024</v>
      </c>
    </row>
    <row r="6" spans="1:13">
      <c r="A6" s="24" t="s">
        <v>12</v>
      </c>
      <c r="B6" s="24">
        <v>202020202020</v>
      </c>
      <c r="C6" s="24" t="s">
        <v>97</v>
      </c>
      <c r="D6" s="79">
        <v>45443</v>
      </c>
      <c r="E6" s="77">
        <v>45595</v>
      </c>
      <c r="F6" s="81">
        <v>564</v>
      </c>
      <c r="G6" s="84">
        <v>8</v>
      </c>
      <c r="H6" s="76">
        <v>5</v>
      </c>
      <c r="I6" s="81">
        <v>70.5</v>
      </c>
      <c r="J6" s="24">
        <v>5</v>
      </c>
      <c r="K6" s="24">
        <v>2024</v>
      </c>
      <c r="L6" s="24">
        <v>10</v>
      </c>
      <c r="M6" s="24">
        <v>2024</v>
      </c>
    </row>
    <row r="7" spans="1:13">
      <c r="A7" s="24" t="s">
        <v>12</v>
      </c>
      <c r="B7" s="24">
        <v>202020202020</v>
      </c>
      <c r="C7" s="24" t="s">
        <v>97</v>
      </c>
      <c r="D7" s="79">
        <v>45443</v>
      </c>
      <c r="E7" s="77">
        <v>45626</v>
      </c>
      <c r="F7" s="81">
        <v>564</v>
      </c>
      <c r="G7" s="84">
        <v>8</v>
      </c>
      <c r="H7" s="76">
        <v>6</v>
      </c>
      <c r="I7" s="81">
        <v>70.5</v>
      </c>
      <c r="J7" s="24">
        <v>5</v>
      </c>
      <c r="K7" s="24">
        <v>2024</v>
      </c>
      <c r="L7" s="24">
        <v>11</v>
      </c>
      <c r="M7" s="24">
        <v>2024</v>
      </c>
    </row>
    <row r="8" spans="1:13">
      <c r="A8" s="24" t="s">
        <v>12</v>
      </c>
      <c r="B8" s="24">
        <v>202020202020</v>
      </c>
      <c r="C8" s="24" t="s">
        <v>97</v>
      </c>
      <c r="D8" s="79">
        <v>45443</v>
      </c>
      <c r="E8" s="77">
        <v>45656</v>
      </c>
      <c r="F8" s="81">
        <v>564</v>
      </c>
      <c r="G8" s="84">
        <v>8</v>
      </c>
      <c r="H8" s="76">
        <v>7</v>
      </c>
      <c r="I8" s="81">
        <v>70.5</v>
      </c>
      <c r="J8" s="24">
        <v>5</v>
      </c>
      <c r="K8" s="24">
        <v>2024</v>
      </c>
      <c r="L8" s="24">
        <v>12</v>
      </c>
      <c r="M8" s="24">
        <v>2024</v>
      </c>
    </row>
    <row r="9" spans="1:13">
      <c r="A9" s="24" t="s">
        <v>12</v>
      </c>
      <c r="B9" s="24">
        <v>202020202020</v>
      </c>
      <c r="C9" s="24" t="s">
        <v>97</v>
      </c>
      <c r="D9" s="79">
        <v>45443</v>
      </c>
      <c r="E9" s="77">
        <v>45687</v>
      </c>
      <c r="F9" s="81">
        <v>564</v>
      </c>
      <c r="G9" s="84">
        <v>8</v>
      </c>
      <c r="H9" s="76">
        <v>8</v>
      </c>
      <c r="I9" s="81">
        <v>70.5</v>
      </c>
      <c r="J9" s="24">
        <v>5</v>
      </c>
      <c r="K9" s="24">
        <v>2024</v>
      </c>
      <c r="L9" s="24">
        <v>1</v>
      </c>
      <c r="M9" s="24">
        <v>2025</v>
      </c>
    </row>
    <row r="10" spans="1:13">
      <c r="A10" s="24" t="s">
        <v>12</v>
      </c>
      <c r="B10" s="24">
        <v>202020202020</v>
      </c>
      <c r="C10" s="24" t="s">
        <v>97</v>
      </c>
      <c r="D10" s="79">
        <v>45443</v>
      </c>
      <c r="E10" s="77">
        <v>45473</v>
      </c>
      <c r="F10" s="81">
        <v>564</v>
      </c>
      <c r="G10" s="84">
        <v>8</v>
      </c>
      <c r="H10" s="76">
        <v>1</v>
      </c>
      <c r="I10" s="81">
        <v>70.5</v>
      </c>
      <c r="J10" s="24">
        <v>5</v>
      </c>
      <c r="K10" s="24">
        <v>2024</v>
      </c>
      <c r="L10" s="24">
        <v>6</v>
      </c>
      <c r="M10" s="24">
        <v>2024</v>
      </c>
    </row>
    <row r="11" spans="1:13">
      <c r="A11" s="24" t="s">
        <v>12</v>
      </c>
      <c r="B11" s="24">
        <v>202020202020</v>
      </c>
      <c r="C11" s="24" t="s">
        <v>97</v>
      </c>
      <c r="D11" s="79">
        <v>45443</v>
      </c>
      <c r="E11" s="77">
        <v>45503</v>
      </c>
      <c r="F11" s="81">
        <v>564</v>
      </c>
      <c r="G11" s="84">
        <v>8</v>
      </c>
      <c r="H11" s="76">
        <v>2</v>
      </c>
      <c r="I11" s="81">
        <v>70.5</v>
      </c>
      <c r="J11" s="24">
        <v>5</v>
      </c>
      <c r="K11" s="24">
        <v>2024</v>
      </c>
      <c r="L11" s="24">
        <v>7</v>
      </c>
      <c r="M11" s="24">
        <v>2024</v>
      </c>
    </row>
    <row r="12" spans="1:13">
      <c r="A12" s="24" t="s">
        <v>12</v>
      </c>
      <c r="B12" s="24">
        <v>202020202020</v>
      </c>
      <c r="C12" s="24" t="s">
        <v>97</v>
      </c>
      <c r="D12" s="79">
        <v>45443</v>
      </c>
      <c r="E12" s="77">
        <v>45534</v>
      </c>
      <c r="F12" s="81">
        <v>564</v>
      </c>
      <c r="G12" s="84">
        <v>8</v>
      </c>
      <c r="H12" s="76">
        <v>3</v>
      </c>
      <c r="I12" s="81">
        <v>70.5</v>
      </c>
      <c r="J12" s="24">
        <v>5</v>
      </c>
      <c r="K12" s="24">
        <v>2024</v>
      </c>
      <c r="L12" s="24">
        <v>8</v>
      </c>
      <c r="M12" s="24">
        <v>2024</v>
      </c>
    </row>
    <row r="13" spans="1:13">
      <c r="A13" s="24" t="s">
        <v>12</v>
      </c>
      <c r="B13" s="24">
        <v>202020202020</v>
      </c>
      <c r="C13" s="24" t="s">
        <v>97</v>
      </c>
      <c r="D13" s="79">
        <v>45443</v>
      </c>
      <c r="E13" s="77">
        <v>45565</v>
      </c>
      <c r="F13" s="81">
        <v>564</v>
      </c>
      <c r="G13" s="84">
        <v>8</v>
      </c>
      <c r="H13" s="76">
        <v>4</v>
      </c>
      <c r="I13" s="81">
        <v>70.5</v>
      </c>
      <c r="J13" s="24">
        <v>5</v>
      </c>
      <c r="K13" s="24">
        <v>2024</v>
      </c>
      <c r="L13" s="24">
        <v>9</v>
      </c>
      <c r="M13" s="24">
        <v>2024</v>
      </c>
    </row>
    <row r="14" spans="1:13">
      <c r="A14" s="24" t="s">
        <v>12</v>
      </c>
      <c r="B14" s="24">
        <v>202020202020</v>
      </c>
      <c r="C14" s="24" t="s">
        <v>97</v>
      </c>
      <c r="D14" s="79">
        <v>45443</v>
      </c>
      <c r="E14" s="77">
        <v>45595</v>
      </c>
      <c r="F14" s="81">
        <v>564</v>
      </c>
      <c r="G14" s="84">
        <v>8</v>
      </c>
      <c r="H14" s="76">
        <v>5</v>
      </c>
      <c r="I14" s="81">
        <v>70.5</v>
      </c>
      <c r="J14" s="24">
        <v>5</v>
      </c>
      <c r="K14" s="24">
        <v>2024</v>
      </c>
      <c r="L14" s="24">
        <v>10</v>
      </c>
      <c r="M14" s="24">
        <v>2024</v>
      </c>
    </row>
    <row r="15" spans="1:13">
      <c r="A15" s="24" t="s">
        <v>12</v>
      </c>
      <c r="B15" s="24">
        <v>202020202020</v>
      </c>
      <c r="C15" s="24" t="s">
        <v>97</v>
      </c>
      <c r="D15" s="79">
        <v>45443</v>
      </c>
      <c r="E15" s="77">
        <v>45626</v>
      </c>
      <c r="F15" s="81">
        <v>564</v>
      </c>
      <c r="G15" s="84">
        <v>8</v>
      </c>
      <c r="H15" s="76">
        <v>6</v>
      </c>
      <c r="I15" s="81">
        <v>70.5</v>
      </c>
      <c r="J15" s="24">
        <v>5</v>
      </c>
      <c r="K15" s="24">
        <v>2024</v>
      </c>
      <c r="L15" s="24">
        <v>11</v>
      </c>
      <c r="M15" s="24">
        <v>2024</v>
      </c>
    </row>
    <row r="16" spans="1:13">
      <c r="A16" s="24" t="s">
        <v>12</v>
      </c>
      <c r="B16" s="24">
        <v>202020202020</v>
      </c>
      <c r="C16" s="24" t="s">
        <v>97</v>
      </c>
      <c r="D16" s="79">
        <v>45443</v>
      </c>
      <c r="E16" s="77">
        <v>45656</v>
      </c>
      <c r="F16" s="81">
        <v>564</v>
      </c>
      <c r="G16" s="84">
        <v>8</v>
      </c>
      <c r="H16" s="76">
        <v>7</v>
      </c>
      <c r="I16" s="81">
        <v>70.5</v>
      </c>
      <c r="J16" s="24">
        <v>5</v>
      </c>
      <c r="K16" s="24">
        <v>2024</v>
      </c>
      <c r="L16" s="24">
        <v>12</v>
      </c>
      <c r="M16" s="24">
        <v>2024</v>
      </c>
    </row>
    <row r="17" spans="1:13">
      <c r="A17" s="24" t="s">
        <v>12</v>
      </c>
      <c r="B17" s="24">
        <v>202020202020</v>
      </c>
      <c r="C17" s="24" t="s">
        <v>97</v>
      </c>
      <c r="D17" s="79">
        <v>45443</v>
      </c>
      <c r="E17" s="77">
        <v>45687</v>
      </c>
      <c r="F17" s="81">
        <v>564</v>
      </c>
      <c r="G17" s="84">
        <v>8</v>
      </c>
      <c r="H17" s="76">
        <v>8</v>
      </c>
      <c r="I17" s="81">
        <v>70.5</v>
      </c>
      <c r="J17" s="24">
        <v>5</v>
      </c>
      <c r="K17" s="24">
        <v>2024</v>
      </c>
      <c r="L17" s="24">
        <v>1</v>
      </c>
      <c r="M17" s="24">
        <v>2025</v>
      </c>
    </row>
    <row r="18" spans="1:13">
      <c r="A18" s="144" t="s">
        <v>45</v>
      </c>
      <c r="B18" s="144">
        <v>14074531754</v>
      </c>
      <c r="C18" s="144" t="s">
        <v>105</v>
      </c>
      <c r="D18" s="145">
        <v>45046</v>
      </c>
      <c r="E18" s="146">
        <v>45076</v>
      </c>
      <c r="F18" s="81">
        <v>320</v>
      </c>
      <c r="G18" s="147">
        <v>8</v>
      </c>
      <c r="H18" s="148">
        <v>1</v>
      </c>
      <c r="I18" s="81">
        <v>40</v>
      </c>
      <c r="J18" s="144">
        <v>4</v>
      </c>
      <c r="K18" s="144">
        <v>2023</v>
      </c>
      <c r="L18" s="144">
        <v>5</v>
      </c>
      <c r="M18" s="144">
        <v>2023</v>
      </c>
    </row>
    <row r="19" spans="1:13">
      <c r="A19" s="144" t="s">
        <v>45</v>
      </c>
      <c r="B19" s="144">
        <v>14074531754</v>
      </c>
      <c r="C19" s="144" t="s">
        <v>105</v>
      </c>
      <c r="D19" s="145">
        <v>45046</v>
      </c>
      <c r="E19" s="146">
        <v>45107</v>
      </c>
      <c r="F19" s="81">
        <v>320</v>
      </c>
      <c r="G19" s="147">
        <v>8</v>
      </c>
      <c r="H19" s="148">
        <v>2</v>
      </c>
      <c r="I19" s="81">
        <v>40</v>
      </c>
      <c r="J19" s="144">
        <v>4</v>
      </c>
      <c r="K19" s="144">
        <v>2023</v>
      </c>
      <c r="L19" s="144">
        <v>6</v>
      </c>
      <c r="M19" s="144">
        <v>2023</v>
      </c>
    </row>
    <row r="20" spans="1:13">
      <c r="A20" s="144" t="s">
        <v>45</v>
      </c>
      <c r="B20" s="144">
        <v>14074531754</v>
      </c>
      <c r="C20" s="144" t="s">
        <v>105</v>
      </c>
      <c r="D20" s="145">
        <v>45046</v>
      </c>
      <c r="E20" s="146">
        <v>45137</v>
      </c>
      <c r="F20" s="81">
        <v>320</v>
      </c>
      <c r="G20" s="147">
        <v>8</v>
      </c>
      <c r="H20" s="148">
        <v>3</v>
      </c>
      <c r="I20" s="81">
        <v>40</v>
      </c>
      <c r="J20" s="144">
        <v>4</v>
      </c>
      <c r="K20" s="144">
        <v>2023</v>
      </c>
      <c r="L20" s="144">
        <v>7</v>
      </c>
      <c r="M20" s="144">
        <v>2023</v>
      </c>
    </row>
    <row r="21" spans="1:13">
      <c r="A21" s="144" t="s">
        <v>45</v>
      </c>
      <c r="B21" s="144">
        <v>14074531754</v>
      </c>
      <c r="C21" s="144" t="s">
        <v>105</v>
      </c>
      <c r="D21" s="145">
        <v>45046</v>
      </c>
      <c r="E21" s="146">
        <v>45168</v>
      </c>
      <c r="F21" s="81">
        <v>320</v>
      </c>
      <c r="G21" s="147">
        <v>8</v>
      </c>
      <c r="H21" s="148">
        <v>4</v>
      </c>
      <c r="I21" s="81">
        <v>40</v>
      </c>
      <c r="J21" s="144">
        <v>4</v>
      </c>
      <c r="K21" s="144">
        <v>2023</v>
      </c>
      <c r="L21" s="144">
        <v>8</v>
      </c>
      <c r="M21" s="144">
        <v>2023</v>
      </c>
    </row>
    <row r="22" spans="1:13">
      <c r="A22" s="144" t="s">
        <v>45</v>
      </c>
      <c r="B22" s="144">
        <v>14074531754</v>
      </c>
      <c r="C22" s="144" t="s">
        <v>105</v>
      </c>
      <c r="D22" s="145">
        <v>45046</v>
      </c>
      <c r="E22" s="146">
        <v>45199</v>
      </c>
      <c r="F22" s="81">
        <v>320</v>
      </c>
      <c r="G22" s="147">
        <v>8</v>
      </c>
      <c r="H22" s="148">
        <v>5</v>
      </c>
      <c r="I22" s="81">
        <v>40</v>
      </c>
      <c r="J22" s="144">
        <v>4</v>
      </c>
      <c r="K22" s="144">
        <v>2023</v>
      </c>
      <c r="L22" s="144">
        <v>9</v>
      </c>
      <c r="M22" s="144">
        <v>2023</v>
      </c>
    </row>
    <row r="23" spans="1:13">
      <c r="A23" s="144" t="s">
        <v>45</v>
      </c>
      <c r="B23" s="144">
        <v>14074531754</v>
      </c>
      <c r="C23" s="144" t="s">
        <v>105</v>
      </c>
      <c r="D23" s="145">
        <v>45046</v>
      </c>
      <c r="E23" s="146">
        <v>45229</v>
      </c>
      <c r="F23" s="81">
        <v>320</v>
      </c>
      <c r="G23" s="147">
        <v>8</v>
      </c>
      <c r="H23" s="148">
        <v>6</v>
      </c>
      <c r="I23" s="81">
        <v>40</v>
      </c>
      <c r="J23" s="144">
        <v>4</v>
      </c>
      <c r="K23" s="144">
        <v>2023</v>
      </c>
      <c r="L23" s="144">
        <v>10</v>
      </c>
      <c r="M23" s="144">
        <v>2023</v>
      </c>
    </row>
    <row r="24" spans="1:13">
      <c r="A24" s="144" t="s">
        <v>45</v>
      </c>
      <c r="B24" s="144">
        <v>14074531754</v>
      </c>
      <c r="C24" s="144" t="s">
        <v>105</v>
      </c>
      <c r="D24" s="145">
        <v>45046</v>
      </c>
      <c r="E24" s="146">
        <v>45260</v>
      </c>
      <c r="F24" s="81">
        <v>320</v>
      </c>
      <c r="G24" s="147">
        <v>8</v>
      </c>
      <c r="H24" s="148">
        <v>7</v>
      </c>
      <c r="I24" s="81">
        <v>40</v>
      </c>
      <c r="J24" s="144">
        <v>4</v>
      </c>
      <c r="K24" s="144">
        <v>2023</v>
      </c>
      <c r="L24" s="144">
        <v>11</v>
      </c>
      <c r="M24" s="144">
        <v>2023</v>
      </c>
    </row>
    <row r="25" spans="1:13">
      <c r="A25" s="144" t="s">
        <v>45</v>
      </c>
      <c r="B25" s="144">
        <v>14074531754</v>
      </c>
      <c r="C25" s="144" t="s">
        <v>105</v>
      </c>
      <c r="D25" s="145">
        <v>45046</v>
      </c>
      <c r="E25" s="146">
        <v>45290</v>
      </c>
      <c r="F25" s="81">
        <v>320</v>
      </c>
      <c r="G25" s="147">
        <v>8</v>
      </c>
      <c r="H25" s="148">
        <v>8</v>
      </c>
      <c r="I25" s="81">
        <v>40</v>
      </c>
      <c r="J25" s="144">
        <v>4</v>
      </c>
      <c r="K25" s="144">
        <v>2023</v>
      </c>
      <c r="L25" s="144">
        <v>12</v>
      </c>
      <c r="M25" s="144">
        <v>2023</v>
      </c>
    </row>
    <row r="26" spans="1:13">
      <c r="A26" s="144" t="s">
        <v>45</v>
      </c>
      <c r="B26" s="144">
        <v>14074531754</v>
      </c>
      <c r="C26" s="144" t="s">
        <v>105</v>
      </c>
      <c r="D26" s="145">
        <v>45046</v>
      </c>
      <c r="E26" s="146">
        <v>45076</v>
      </c>
      <c r="F26" s="81">
        <v>320</v>
      </c>
      <c r="G26" s="147">
        <v>8</v>
      </c>
      <c r="H26" s="148">
        <v>1</v>
      </c>
      <c r="I26" s="81">
        <v>40</v>
      </c>
      <c r="J26" s="144">
        <v>4</v>
      </c>
      <c r="K26" s="144">
        <v>2023</v>
      </c>
      <c r="L26" s="144">
        <v>5</v>
      </c>
      <c r="M26" s="144">
        <v>2023</v>
      </c>
    </row>
    <row r="27" spans="1:13">
      <c r="A27" s="144" t="s">
        <v>45</v>
      </c>
      <c r="B27" s="144">
        <v>14074531754</v>
      </c>
      <c r="C27" s="144" t="s">
        <v>105</v>
      </c>
      <c r="D27" s="145">
        <v>45046</v>
      </c>
      <c r="E27" s="146">
        <v>45107</v>
      </c>
      <c r="F27" s="81">
        <v>320</v>
      </c>
      <c r="G27" s="147">
        <v>8</v>
      </c>
      <c r="H27" s="148">
        <v>2</v>
      </c>
      <c r="I27" s="81">
        <v>40</v>
      </c>
      <c r="J27" s="144">
        <v>4</v>
      </c>
      <c r="K27" s="144">
        <v>2023</v>
      </c>
      <c r="L27" s="144">
        <v>6</v>
      </c>
      <c r="M27" s="144">
        <v>2023</v>
      </c>
    </row>
    <row r="28" spans="1:13">
      <c r="A28" s="144" t="s">
        <v>45</v>
      </c>
      <c r="B28" s="144">
        <v>14074531754</v>
      </c>
      <c r="C28" s="144" t="s">
        <v>105</v>
      </c>
      <c r="D28" s="145">
        <v>45046</v>
      </c>
      <c r="E28" s="146">
        <v>45137</v>
      </c>
      <c r="F28" s="81">
        <v>320</v>
      </c>
      <c r="G28" s="147">
        <v>8</v>
      </c>
      <c r="H28" s="148">
        <v>3</v>
      </c>
      <c r="I28" s="81">
        <v>40</v>
      </c>
      <c r="J28" s="144">
        <v>4</v>
      </c>
      <c r="K28" s="144">
        <v>2023</v>
      </c>
      <c r="L28" s="144">
        <v>7</v>
      </c>
      <c r="M28" s="144">
        <v>2023</v>
      </c>
    </row>
    <row r="29" spans="1:13">
      <c r="A29" s="144" t="s">
        <v>45</v>
      </c>
      <c r="B29" s="144">
        <v>14074531754</v>
      </c>
      <c r="C29" s="144" t="s">
        <v>105</v>
      </c>
      <c r="D29" s="145">
        <v>45046</v>
      </c>
      <c r="E29" s="146">
        <v>45168</v>
      </c>
      <c r="F29" s="81">
        <v>320</v>
      </c>
      <c r="G29" s="147">
        <v>8</v>
      </c>
      <c r="H29" s="148">
        <v>4</v>
      </c>
      <c r="I29" s="81">
        <v>40</v>
      </c>
      <c r="J29" s="144">
        <v>4</v>
      </c>
      <c r="K29" s="144">
        <v>2023</v>
      </c>
      <c r="L29" s="144">
        <v>8</v>
      </c>
      <c r="M29" s="144">
        <v>2023</v>
      </c>
    </row>
    <row r="30" spans="1:13">
      <c r="A30" s="144" t="s">
        <v>45</v>
      </c>
      <c r="B30" s="144">
        <v>14074531754</v>
      </c>
      <c r="C30" s="144" t="s">
        <v>105</v>
      </c>
      <c r="D30" s="145">
        <v>45046</v>
      </c>
      <c r="E30" s="146">
        <v>45199</v>
      </c>
      <c r="F30" s="81">
        <v>320</v>
      </c>
      <c r="G30" s="147">
        <v>8</v>
      </c>
      <c r="H30" s="148">
        <v>5</v>
      </c>
      <c r="I30" s="81">
        <v>40</v>
      </c>
      <c r="J30" s="144">
        <v>4</v>
      </c>
      <c r="K30" s="144">
        <v>2023</v>
      </c>
      <c r="L30" s="144">
        <v>9</v>
      </c>
      <c r="M30" s="144">
        <v>2023</v>
      </c>
    </row>
    <row r="31" spans="1:13">
      <c r="A31" s="144" t="s">
        <v>45</v>
      </c>
      <c r="B31" s="144">
        <v>14074531754</v>
      </c>
      <c r="C31" s="144" t="s">
        <v>105</v>
      </c>
      <c r="D31" s="145">
        <v>45046</v>
      </c>
      <c r="E31" s="146">
        <v>45229</v>
      </c>
      <c r="F31" s="81">
        <v>320</v>
      </c>
      <c r="G31" s="147">
        <v>8</v>
      </c>
      <c r="H31" s="148">
        <v>6</v>
      </c>
      <c r="I31" s="81">
        <v>40</v>
      </c>
      <c r="J31" s="144">
        <v>4</v>
      </c>
      <c r="K31" s="144">
        <v>2023</v>
      </c>
      <c r="L31" s="144">
        <v>10</v>
      </c>
      <c r="M31" s="144">
        <v>2023</v>
      </c>
    </row>
    <row r="32" spans="1:13">
      <c r="A32" s="144" t="s">
        <v>45</v>
      </c>
      <c r="B32" s="144">
        <v>14074531754</v>
      </c>
      <c r="C32" s="144" t="s">
        <v>105</v>
      </c>
      <c r="D32" s="145">
        <v>45046</v>
      </c>
      <c r="E32" s="146">
        <v>45260</v>
      </c>
      <c r="F32" s="81">
        <v>320</v>
      </c>
      <c r="G32" s="147">
        <v>8</v>
      </c>
      <c r="H32" s="148">
        <v>7</v>
      </c>
      <c r="I32" s="81">
        <v>40</v>
      </c>
      <c r="J32" s="144">
        <v>4</v>
      </c>
      <c r="K32" s="144">
        <v>2023</v>
      </c>
      <c r="L32" s="144">
        <v>11</v>
      </c>
      <c r="M32" s="144">
        <v>2023</v>
      </c>
    </row>
    <row r="33" spans="1:13">
      <c r="A33" s="144" t="s">
        <v>45</v>
      </c>
      <c r="B33" s="144">
        <v>14074531754</v>
      </c>
      <c r="C33" s="144" t="s">
        <v>105</v>
      </c>
      <c r="D33" s="145">
        <v>45046</v>
      </c>
      <c r="E33" s="146">
        <v>45290</v>
      </c>
      <c r="F33" s="81">
        <v>320</v>
      </c>
      <c r="G33" s="147">
        <v>8</v>
      </c>
      <c r="H33" s="148">
        <v>8</v>
      </c>
      <c r="I33" s="81">
        <v>40</v>
      </c>
      <c r="J33" s="144">
        <v>4</v>
      </c>
      <c r="K33" s="144">
        <v>2023</v>
      </c>
      <c r="L33" s="144">
        <v>12</v>
      </c>
      <c r="M33" s="144">
        <v>2023</v>
      </c>
    </row>
    <row r="34" spans="1:13">
      <c r="A34" s="144" t="s">
        <v>45</v>
      </c>
      <c r="B34" s="144">
        <v>14074531754</v>
      </c>
      <c r="C34" s="144" t="s">
        <v>105</v>
      </c>
      <c r="D34" s="145">
        <v>45046</v>
      </c>
      <c r="E34" s="146">
        <v>45076</v>
      </c>
      <c r="F34" s="81">
        <v>320</v>
      </c>
      <c r="G34" s="147">
        <v>8</v>
      </c>
      <c r="H34" s="148">
        <v>1</v>
      </c>
      <c r="I34" s="81">
        <v>40</v>
      </c>
      <c r="J34" s="144">
        <v>4</v>
      </c>
      <c r="K34" s="144">
        <v>2023</v>
      </c>
      <c r="L34" s="144">
        <v>5</v>
      </c>
      <c r="M34" s="144">
        <v>2023</v>
      </c>
    </row>
    <row r="35" spans="1:13">
      <c r="A35" s="144" t="s">
        <v>45</v>
      </c>
      <c r="B35" s="144">
        <v>14074531754</v>
      </c>
      <c r="C35" s="144" t="s">
        <v>105</v>
      </c>
      <c r="D35" s="145">
        <v>45046</v>
      </c>
      <c r="E35" s="146">
        <v>45107</v>
      </c>
      <c r="F35" s="81">
        <v>320</v>
      </c>
      <c r="G35" s="147">
        <v>8</v>
      </c>
      <c r="H35" s="148">
        <v>2</v>
      </c>
      <c r="I35" s="81">
        <v>40</v>
      </c>
      <c r="J35" s="144">
        <v>4</v>
      </c>
      <c r="K35" s="144">
        <v>2023</v>
      </c>
      <c r="L35" s="144">
        <v>6</v>
      </c>
      <c r="M35" s="144">
        <v>2023</v>
      </c>
    </row>
    <row r="36" spans="1:13">
      <c r="A36" s="144" t="s">
        <v>45</v>
      </c>
      <c r="B36" s="144">
        <v>14074531754</v>
      </c>
      <c r="C36" s="144" t="s">
        <v>105</v>
      </c>
      <c r="D36" s="145">
        <v>45046</v>
      </c>
      <c r="E36" s="146">
        <v>45137</v>
      </c>
      <c r="F36" s="81">
        <v>320</v>
      </c>
      <c r="G36" s="147">
        <v>8</v>
      </c>
      <c r="H36" s="148">
        <v>3</v>
      </c>
      <c r="I36" s="81">
        <v>40</v>
      </c>
      <c r="J36" s="144">
        <v>4</v>
      </c>
      <c r="K36" s="144">
        <v>2023</v>
      </c>
      <c r="L36" s="144">
        <v>7</v>
      </c>
      <c r="M36" s="144">
        <v>2023</v>
      </c>
    </row>
    <row r="37" spans="1:13">
      <c r="A37" s="144" t="s">
        <v>45</v>
      </c>
      <c r="B37" s="144">
        <v>14074531754</v>
      </c>
      <c r="C37" s="144" t="s">
        <v>105</v>
      </c>
      <c r="D37" s="145">
        <v>45046</v>
      </c>
      <c r="E37" s="146">
        <v>45168</v>
      </c>
      <c r="F37" s="81">
        <v>320</v>
      </c>
      <c r="G37" s="147">
        <v>8</v>
      </c>
      <c r="H37" s="148">
        <v>4</v>
      </c>
      <c r="I37" s="81">
        <v>40</v>
      </c>
      <c r="J37" s="144">
        <v>4</v>
      </c>
      <c r="K37" s="144">
        <v>2023</v>
      </c>
      <c r="L37" s="144">
        <v>8</v>
      </c>
      <c r="M37" s="144">
        <v>2023</v>
      </c>
    </row>
    <row r="38" spans="1:13">
      <c r="A38" s="144" t="s">
        <v>45</v>
      </c>
      <c r="B38" s="144">
        <v>14074531754</v>
      </c>
      <c r="C38" s="144" t="s">
        <v>105</v>
      </c>
      <c r="D38" s="145">
        <v>45046</v>
      </c>
      <c r="E38" s="146">
        <v>45199</v>
      </c>
      <c r="F38" s="81">
        <v>320</v>
      </c>
      <c r="G38" s="147">
        <v>8</v>
      </c>
      <c r="H38" s="148">
        <v>5</v>
      </c>
      <c r="I38" s="81">
        <v>40</v>
      </c>
      <c r="J38" s="144">
        <v>4</v>
      </c>
      <c r="K38" s="144">
        <v>2023</v>
      </c>
      <c r="L38" s="144">
        <v>9</v>
      </c>
      <c r="M38" s="144">
        <v>2023</v>
      </c>
    </row>
    <row r="39" spans="1:13">
      <c r="A39" s="144" t="s">
        <v>45</v>
      </c>
      <c r="B39" s="144">
        <v>14074531754</v>
      </c>
      <c r="C39" s="144" t="s">
        <v>105</v>
      </c>
      <c r="D39" s="145">
        <v>45046</v>
      </c>
      <c r="E39" s="146">
        <v>45229</v>
      </c>
      <c r="F39" s="81">
        <v>320</v>
      </c>
      <c r="G39" s="147">
        <v>8</v>
      </c>
      <c r="H39" s="148">
        <v>6</v>
      </c>
      <c r="I39" s="81">
        <v>40</v>
      </c>
      <c r="J39" s="144">
        <v>4</v>
      </c>
      <c r="K39" s="144">
        <v>2023</v>
      </c>
      <c r="L39" s="144">
        <v>10</v>
      </c>
      <c r="M39" s="144">
        <v>2023</v>
      </c>
    </row>
    <row r="40" spans="1:13">
      <c r="A40" s="144" t="s">
        <v>45</v>
      </c>
      <c r="B40" s="144">
        <v>14074531754</v>
      </c>
      <c r="C40" s="144" t="s">
        <v>105</v>
      </c>
      <c r="D40" s="145">
        <v>45046</v>
      </c>
      <c r="E40" s="146">
        <v>45260</v>
      </c>
      <c r="F40" s="81">
        <v>320</v>
      </c>
      <c r="G40" s="147">
        <v>8</v>
      </c>
      <c r="H40" s="148">
        <v>7</v>
      </c>
      <c r="I40" s="81">
        <v>40</v>
      </c>
      <c r="J40" s="144">
        <v>4</v>
      </c>
      <c r="K40" s="144">
        <v>2023</v>
      </c>
      <c r="L40" s="144">
        <v>11</v>
      </c>
      <c r="M40" s="144">
        <v>2023</v>
      </c>
    </row>
    <row r="41" spans="1:13">
      <c r="A41" s="144" t="s">
        <v>45</v>
      </c>
      <c r="B41" s="144">
        <v>14074531754</v>
      </c>
      <c r="C41" s="144" t="s">
        <v>105</v>
      </c>
      <c r="D41" s="145">
        <v>45046</v>
      </c>
      <c r="E41" s="146">
        <v>45290</v>
      </c>
      <c r="F41" s="81">
        <v>320</v>
      </c>
      <c r="G41" s="147">
        <v>8</v>
      </c>
      <c r="H41" s="148">
        <v>8</v>
      </c>
      <c r="I41" s="81">
        <v>40</v>
      </c>
      <c r="J41" s="144">
        <v>4</v>
      </c>
      <c r="K41" s="144">
        <v>2023</v>
      </c>
      <c r="L41" s="144">
        <v>12</v>
      </c>
      <c r="M41" s="144">
        <v>2023</v>
      </c>
    </row>
    <row r="42" spans="1:13">
      <c r="A42" s="24" t="s">
        <v>13</v>
      </c>
      <c r="B42" s="24">
        <v>3030303030303</v>
      </c>
      <c r="C42" s="24" t="s">
        <v>84</v>
      </c>
      <c r="D42" s="79">
        <v>44606</v>
      </c>
      <c r="E42" s="77">
        <v>44634</v>
      </c>
      <c r="F42" s="81">
        <v>5621</v>
      </c>
      <c r="G42" s="84">
        <v>12</v>
      </c>
      <c r="H42" s="76">
        <v>1</v>
      </c>
      <c r="I42" s="81">
        <v>468.41666666666669</v>
      </c>
      <c r="J42" s="24">
        <v>2</v>
      </c>
      <c r="K42" s="24">
        <v>2022</v>
      </c>
      <c r="L42" s="24">
        <v>3</v>
      </c>
      <c r="M42" s="24">
        <v>2022</v>
      </c>
    </row>
    <row r="43" spans="1:13">
      <c r="A43" s="24" t="s">
        <v>13</v>
      </c>
      <c r="B43" s="24">
        <v>3030303030303</v>
      </c>
      <c r="C43" s="24" t="s">
        <v>84</v>
      </c>
      <c r="D43" s="79">
        <v>44606</v>
      </c>
      <c r="E43" s="77">
        <v>44665</v>
      </c>
      <c r="F43" s="81">
        <v>5621</v>
      </c>
      <c r="G43" s="84">
        <v>12</v>
      </c>
      <c r="H43" s="76">
        <v>2</v>
      </c>
      <c r="I43" s="81">
        <v>468.41666666666669</v>
      </c>
      <c r="J43" s="24">
        <v>2</v>
      </c>
      <c r="K43" s="24">
        <v>2022</v>
      </c>
      <c r="L43" s="24">
        <v>4</v>
      </c>
      <c r="M43" s="24">
        <v>2022</v>
      </c>
    </row>
    <row r="44" spans="1:13">
      <c r="A44" s="24" t="s">
        <v>13</v>
      </c>
      <c r="B44" s="24">
        <v>3030303030303</v>
      </c>
      <c r="C44" s="24" t="s">
        <v>84</v>
      </c>
      <c r="D44" s="79">
        <v>44606</v>
      </c>
      <c r="E44" s="77">
        <v>44695</v>
      </c>
      <c r="F44" s="81">
        <v>5621</v>
      </c>
      <c r="G44" s="84">
        <v>12</v>
      </c>
      <c r="H44" s="76">
        <v>3</v>
      </c>
      <c r="I44" s="81">
        <v>468.41666666666669</v>
      </c>
      <c r="J44" s="24">
        <v>2</v>
      </c>
      <c r="K44" s="24">
        <v>2022</v>
      </c>
      <c r="L44" s="24">
        <v>5</v>
      </c>
      <c r="M44" s="24">
        <v>2022</v>
      </c>
    </row>
    <row r="45" spans="1:13">
      <c r="A45" s="24" t="s">
        <v>13</v>
      </c>
      <c r="B45" s="24">
        <v>3030303030303</v>
      </c>
      <c r="C45" s="24" t="s">
        <v>84</v>
      </c>
      <c r="D45" s="79">
        <v>44606</v>
      </c>
      <c r="E45" s="77">
        <v>44726</v>
      </c>
      <c r="F45" s="81">
        <v>5621</v>
      </c>
      <c r="G45" s="84">
        <v>12</v>
      </c>
      <c r="H45" s="76">
        <v>4</v>
      </c>
      <c r="I45" s="81">
        <v>468.41666666666669</v>
      </c>
      <c r="J45" s="24">
        <v>2</v>
      </c>
      <c r="K45" s="24">
        <v>2022</v>
      </c>
      <c r="L45" s="24">
        <v>6</v>
      </c>
      <c r="M45" s="24">
        <v>2022</v>
      </c>
    </row>
    <row r="46" spans="1:13">
      <c r="A46" s="24" t="s">
        <v>13</v>
      </c>
      <c r="B46" s="24">
        <v>3030303030303</v>
      </c>
      <c r="C46" s="24" t="s">
        <v>84</v>
      </c>
      <c r="D46" s="79">
        <v>44606</v>
      </c>
      <c r="E46" s="77">
        <v>44756</v>
      </c>
      <c r="F46" s="81">
        <v>5621</v>
      </c>
      <c r="G46" s="84">
        <v>12</v>
      </c>
      <c r="H46" s="76">
        <v>5</v>
      </c>
      <c r="I46" s="81">
        <v>468.41666666666669</v>
      </c>
      <c r="J46" s="24">
        <v>2</v>
      </c>
      <c r="K46" s="24">
        <v>2022</v>
      </c>
      <c r="L46" s="24">
        <v>7</v>
      </c>
      <c r="M46" s="24">
        <v>2022</v>
      </c>
    </row>
    <row r="47" spans="1:13">
      <c r="A47" s="24" t="s">
        <v>13</v>
      </c>
      <c r="B47" s="24">
        <v>3030303030303</v>
      </c>
      <c r="C47" s="24" t="s">
        <v>84</v>
      </c>
      <c r="D47" s="79">
        <v>44606</v>
      </c>
      <c r="E47" s="77">
        <v>44787</v>
      </c>
      <c r="F47" s="81">
        <v>5621</v>
      </c>
      <c r="G47" s="84">
        <v>12</v>
      </c>
      <c r="H47" s="76">
        <v>6</v>
      </c>
      <c r="I47" s="81">
        <v>468.41666666666669</v>
      </c>
      <c r="J47" s="24">
        <v>2</v>
      </c>
      <c r="K47" s="24">
        <v>2022</v>
      </c>
      <c r="L47" s="24">
        <v>8</v>
      </c>
      <c r="M47" s="24">
        <v>2022</v>
      </c>
    </row>
    <row r="48" spans="1:13">
      <c r="A48" s="24" t="s">
        <v>13</v>
      </c>
      <c r="B48" s="24">
        <v>3030303030303</v>
      </c>
      <c r="C48" s="24" t="s">
        <v>84</v>
      </c>
      <c r="D48" s="79">
        <v>44606</v>
      </c>
      <c r="E48" s="77">
        <v>44818</v>
      </c>
      <c r="F48" s="81">
        <v>5621</v>
      </c>
      <c r="G48" s="84">
        <v>12</v>
      </c>
      <c r="H48" s="76">
        <v>7</v>
      </c>
      <c r="I48" s="81">
        <v>468.41666666666669</v>
      </c>
      <c r="J48" s="24">
        <v>2</v>
      </c>
      <c r="K48" s="24">
        <v>2022</v>
      </c>
      <c r="L48" s="24">
        <v>9</v>
      </c>
      <c r="M48" s="24">
        <v>2022</v>
      </c>
    </row>
    <row r="49" spans="1:13">
      <c r="A49" s="24" t="s">
        <v>13</v>
      </c>
      <c r="B49" s="24">
        <v>3030303030303</v>
      </c>
      <c r="C49" s="24" t="s">
        <v>84</v>
      </c>
      <c r="D49" s="79">
        <v>44606</v>
      </c>
      <c r="E49" s="77">
        <v>44848</v>
      </c>
      <c r="F49" s="81">
        <v>5621</v>
      </c>
      <c r="G49" s="84">
        <v>12</v>
      </c>
      <c r="H49" s="76">
        <v>8</v>
      </c>
      <c r="I49" s="81">
        <v>468.41666666666669</v>
      </c>
      <c r="J49" s="24">
        <v>2</v>
      </c>
      <c r="K49" s="24">
        <v>2022</v>
      </c>
      <c r="L49" s="24">
        <v>10</v>
      </c>
      <c r="M49" s="24">
        <v>2022</v>
      </c>
    </row>
    <row r="50" spans="1:13">
      <c r="A50" s="24" t="s">
        <v>13</v>
      </c>
      <c r="B50" s="24">
        <v>3030303030303</v>
      </c>
      <c r="C50" s="24" t="s">
        <v>84</v>
      </c>
      <c r="D50" s="79">
        <v>44606</v>
      </c>
      <c r="E50" s="77">
        <v>44879</v>
      </c>
      <c r="F50" s="81">
        <v>5621</v>
      </c>
      <c r="G50" s="84">
        <v>12</v>
      </c>
      <c r="H50" s="76">
        <v>9</v>
      </c>
      <c r="I50" s="81">
        <v>468.41666666666669</v>
      </c>
      <c r="J50" s="24">
        <v>2</v>
      </c>
      <c r="K50" s="24">
        <v>2022</v>
      </c>
      <c r="L50" s="24">
        <v>11</v>
      </c>
      <c r="M50" s="24">
        <v>2022</v>
      </c>
    </row>
    <row r="51" spans="1:13">
      <c r="A51" s="24" t="s">
        <v>13</v>
      </c>
      <c r="B51" s="24">
        <v>3030303030303</v>
      </c>
      <c r="C51" s="24" t="s">
        <v>84</v>
      </c>
      <c r="D51" s="79">
        <v>44606</v>
      </c>
      <c r="E51" s="77">
        <v>44909</v>
      </c>
      <c r="F51" s="81">
        <v>5621</v>
      </c>
      <c r="G51" s="84">
        <v>12</v>
      </c>
      <c r="H51" s="76">
        <v>10</v>
      </c>
      <c r="I51" s="81">
        <v>468.41666666666669</v>
      </c>
      <c r="J51" s="24">
        <v>2</v>
      </c>
      <c r="K51" s="24">
        <v>2022</v>
      </c>
      <c r="L51" s="24">
        <v>12</v>
      </c>
      <c r="M51" s="24">
        <v>2022</v>
      </c>
    </row>
    <row r="52" spans="1:13">
      <c r="A52" s="24" t="s">
        <v>13</v>
      </c>
      <c r="B52" s="24">
        <v>3030303030303</v>
      </c>
      <c r="C52" s="24" t="s">
        <v>84</v>
      </c>
      <c r="D52" s="79">
        <v>44606</v>
      </c>
      <c r="E52" s="77">
        <v>44940</v>
      </c>
      <c r="F52" s="81">
        <v>5621</v>
      </c>
      <c r="G52" s="84">
        <v>12</v>
      </c>
      <c r="H52" s="76">
        <v>11</v>
      </c>
      <c r="I52" s="81">
        <v>468.41666666666669</v>
      </c>
      <c r="J52" s="24">
        <v>2</v>
      </c>
      <c r="K52" s="24">
        <v>2022</v>
      </c>
      <c r="L52" s="24">
        <v>1</v>
      </c>
      <c r="M52" s="24">
        <v>2023</v>
      </c>
    </row>
    <row r="53" spans="1:13">
      <c r="A53" s="24" t="s">
        <v>13</v>
      </c>
      <c r="B53" s="24">
        <v>3030303030303</v>
      </c>
      <c r="C53" s="24" t="s">
        <v>84</v>
      </c>
      <c r="D53" s="79">
        <v>44606</v>
      </c>
      <c r="E53" s="77">
        <v>44971</v>
      </c>
      <c r="F53" s="81">
        <v>5621</v>
      </c>
      <c r="G53" s="84">
        <v>12</v>
      </c>
      <c r="H53" s="76">
        <v>12</v>
      </c>
      <c r="I53" s="81">
        <v>468.41666666666669</v>
      </c>
      <c r="J53" s="24">
        <v>2</v>
      </c>
      <c r="K53" s="24">
        <v>2022</v>
      </c>
      <c r="L53" s="24">
        <v>2</v>
      </c>
      <c r="M53" s="24">
        <v>2023</v>
      </c>
    </row>
    <row r="54" spans="1:13">
      <c r="A54" s="24" t="s">
        <v>41</v>
      </c>
      <c r="B54" s="24">
        <v>13365514967</v>
      </c>
      <c r="C54" s="24" t="s">
        <v>83</v>
      </c>
      <c r="D54" s="79">
        <v>44606</v>
      </c>
      <c r="E54" s="77">
        <v>44634</v>
      </c>
      <c r="F54" s="81">
        <v>5621</v>
      </c>
      <c r="G54" s="84">
        <v>7</v>
      </c>
      <c r="H54" s="76">
        <v>1</v>
      </c>
      <c r="I54" s="81">
        <v>803</v>
      </c>
      <c r="J54" s="24">
        <v>2</v>
      </c>
      <c r="K54" s="24">
        <v>2022</v>
      </c>
      <c r="L54" s="24">
        <v>3</v>
      </c>
      <c r="M54" s="24">
        <v>2022</v>
      </c>
    </row>
    <row r="55" spans="1:13">
      <c r="A55" s="24" t="s">
        <v>41</v>
      </c>
      <c r="B55" s="24">
        <v>13365514967</v>
      </c>
      <c r="C55" s="24" t="s">
        <v>83</v>
      </c>
      <c r="D55" s="79">
        <v>44606</v>
      </c>
      <c r="E55" s="77">
        <v>44665</v>
      </c>
      <c r="F55" s="81">
        <v>5621</v>
      </c>
      <c r="G55" s="84">
        <v>7</v>
      </c>
      <c r="H55" s="76">
        <v>2</v>
      </c>
      <c r="I55" s="81">
        <v>803</v>
      </c>
      <c r="J55" s="24">
        <v>2</v>
      </c>
      <c r="K55" s="24">
        <v>2022</v>
      </c>
      <c r="L55" s="24">
        <v>4</v>
      </c>
      <c r="M55" s="24">
        <v>2022</v>
      </c>
    </row>
    <row r="56" spans="1:13">
      <c r="A56" s="24" t="s">
        <v>41</v>
      </c>
      <c r="B56" s="24">
        <v>13365514967</v>
      </c>
      <c r="C56" s="24" t="s">
        <v>83</v>
      </c>
      <c r="D56" s="79">
        <v>44606</v>
      </c>
      <c r="E56" s="77">
        <v>44695</v>
      </c>
      <c r="F56" s="81">
        <v>5621</v>
      </c>
      <c r="G56" s="84">
        <v>7</v>
      </c>
      <c r="H56" s="76">
        <v>3</v>
      </c>
      <c r="I56" s="81">
        <v>803</v>
      </c>
      <c r="J56" s="24">
        <v>2</v>
      </c>
      <c r="K56" s="24">
        <v>2022</v>
      </c>
      <c r="L56" s="24">
        <v>5</v>
      </c>
      <c r="M56" s="24">
        <v>2022</v>
      </c>
    </row>
    <row r="57" spans="1:13">
      <c r="A57" s="24" t="s">
        <v>41</v>
      </c>
      <c r="B57" s="24">
        <v>13365514967</v>
      </c>
      <c r="C57" s="24" t="s">
        <v>83</v>
      </c>
      <c r="D57" s="79">
        <v>44606</v>
      </c>
      <c r="E57" s="77">
        <v>44726</v>
      </c>
      <c r="F57" s="81">
        <v>5621</v>
      </c>
      <c r="G57" s="84">
        <v>7</v>
      </c>
      <c r="H57" s="76">
        <v>4</v>
      </c>
      <c r="I57" s="81">
        <v>803</v>
      </c>
      <c r="J57" s="24">
        <v>2</v>
      </c>
      <c r="K57" s="24">
        <v>2022</v>
      </c>
      <c r="L57" s="24">
        <v>6</v>
      </c>
      <c r="M57" s="24">
        <v>2022</v>
      </c>
    </row>
    <row r="58" spans="1:13">
      <c r="A58" s="24" t="s">
        <v>41</v>
      </c>
      <c r="B58" s="24">
        <v>13365514967</v>
      </c>
      <c r="C58" s="24" t="s">
        <v>83</v>
      </c>
      <c r="D58" s="79">
        <v>44606</v>
      </c>
      <c r="E58" s="77">
        <v>44756</v>
      </c>
      <c r="F58" s="81">
        <v>5621</v>
      </c>
      <c r="G58" s="84">
        <v>7</v>
      </c>
      <c r="H58" s="76">
        <v>5</v>
      </c>
      <c r="I58" s="81">
        <v>803</v>
      </c>
      <c r="J58" s="24">
        <v>2</v>
      </c>
      <c r="K58" s="24">
        <v>2022</v>
      </c>
      <c r="L58" s="24">
        <v>7</v>
      </c>
      <c r="M58" s="24">
        <v>2022</v>
      </c>
    </row>
    <row r="59" spans="1:13">
      <c r="A59" s="24" t="s">
        <v>41</v>
      </c>
      <c r="B59" s="24">
        <v>13365514967</v>
      </c>
      <c r="C59" s="24" t="s">
        <v>83</v>
      </c>
      <c r="D59" s="79">
        <v>44606</v>
      </c>
      <c r="E59" s="77">
        <v>44787</v>
      </c>
      <c r="F59" s="81">
        <v>5621</v>
      </c>
      <c r="G59" s="84">
        <v>7</v>
      </c>
      <c r="H59" s="76">
        <v>6</v>
      </c>
      <c r="I59" s="81">
        <v>803</v>
      </c>
      <c r="J59" s="24">
        <v>2</v>
      </c>
      <c r="K59" s="24">
        <v>2022</v>
      </c>
      <c r="L59" s="24">
        <v>8</v>
      </c>
      <c r="M59" s="24">
        <v>2022</v>
      </c>
    </row>
    <row r="60" spans="1:13">
      <c r="A60" s="24" t="s">
        <v>41</v>
      </c>
      <c r="B60" s="24">
        <v>13365514967</v>
      </c>
      <c r="C60" s="24" t="s">
        <v>83</v>
      </c>
      <c r="D60" s="79">
        <v>44606</v>
      </c>
      <c r="E60" s="77">
        <v>44818</v>
      </c>
      <c r="F60" s="81">
        <v>5621</v>
      </c>
      <c r="G60" s="84">
        <v>7</v>
      </c>
      <c r="H60" s="76">
        <v>7</v>
      </c>
      <c r="I60" s="81">
        <v>803</v>
      </c>
      <c r="J60" s="24">
        <v>2</v>
      </c>
      <c r="K60" s="24">
        <v>2022</v>
      </c>
      <c r="L60" s="24">
        <v>9</v>
      </c>
      <c r="M60" s="24">
        <v>2022</v>
      </c>
    </row>
    <row r="61" spans="1:13">
      <c r="A61" s="24" t="s">
        <v>34</v>
      </c>
      <c r="B61" s="24">
        <v>7303330974</v>
      </c>
      <c r="C61" s="24" t="s">
        <v>98</v>
      </c>
      <c r="D61" s="79">
        <v>45037</v>
      </c>
      <c r="E61" s="77">
        <v>45067</v>
      </c>
      <c r="F61" s="81">
        <v>2856</v>
      </c>
      <c r="G61" s="84">
        <v>12</v>
      </c>
      <c r="H61" s="76">
        <v>1</v>
      </c>
      <c r="I61" s="81">
        <v>238</v>
      </c>
      <c r="J61" s="24">
        <v>4</v>
      </c>
      <c r="K61" s="24">
        <v>2023</v>
      </c>
      <c r="L61" s="24">
        <v>5</v>
      </c>
      <c r="M61" s="24">
        <v>2023</v>
      </c>
    </row>
    <row r="62" spans="1:13">
      <c r="A62" s="24" t="s">
        <v>34</v>
      </c>
      <c r="B62" s="24">
        <v>7303330974</v>
      </c>
      <c r="C62" s="24" t="s">
        <v>98</v>
      </c>
      <c r="D62" s="79">
        <v>45037</v>
      </c>
      <c r="E62" s="77">
        <v>45098</v>
      </c>
      <c r="F62" s="81">
        <v>2856</v>
      </c>
      <c r="G62" s="84">
        <v>12</v>
      </c>
      <c r="H62" s="76">
        <v>2</v>
      </c>
      <c r="I62" s="81">
        <v>238</v>
      </c>
      <c r="J62" s="24">
        <v>4</v>
      </c>
      <c r="K62" s="24">
        <v>2023</v>
      </c>
      <c r="L62" s="24">
        <v>6</v>
      </c>
      <c r="M62" s="24">
        <v>2023</v>
      </c>
    </row>
    <row r="63" spans="1:13">
      <c r="A63" s="24" t="s">
        <v>34</v>
      </c>
      <c r="B63" s="24">
        <v>7303330974</v>
      </c>
      <c r="C63" s="24" t="s">
        <v>98</v>
      </c>
      <c r="D63" s="79">
        <v>45037</v>
      </c>
      <c r="E63" s="77">
        <v>45128</v>
      </c>
      <c r="F63" s="81">
        <v>2856</v>
      </c>
      <c r="G63" s="84">
        <v>12</v>
      </c>
      <c r="H63" s="76">
        <v>3</v>
      </c>
      <c r="I63" s="81">
        <v>238</v>
      </c>
      <c r="J63" s="24">
        <v>4</v>
      </c>
      <c r="K63" s="24">
        <v>2023</v>
      </c>
      <c r="L63" s="24">
        <v>7</v>
      </c>
      <c r="M63" s="24">
        <v>2023</v>
      </c>
    </row>
    <row r="64" spans="1:13">
      <c r="A64" s="24" t="s">
        <v>34</v>
      </c>
      <c r="B64" s="24">
        <v>7303330974</v>
      </c>
      <c r="C64" s="24" t="s">
        <v>98</v>
      </c>
      <c r="D64" s="79">
        <v>45037</v>
      </c>
      <c r="E64" s="77">
        <v>45159</v>
      </c>
      <c r="F64" s="81">
        <v>2856</v>
      </c>
      <c r="G64" s="84">
        <v>12</v>
      </c>
      <c r="H64" s="76">
        <v>4</v>
      </c>
      <c r="I64" s="81">
        <v>238</v>
      </c>
      <c r="J64" s="24">
        <v>4</v>
      </c>
      <c r="K64" s="24">
        <v>2023</v>
      </c>
      <c r="L64" s="24">
        <v>8</v>
      </c>
      <c r="M64" s="24">
        <v>2023</v>
      </c>
    </row>
    <row r="65" spans="1:13">
      <c r="A65" s="24" t="s">
        <v>34</v>
      </c>
      <c r="B65" s="24">
        <v>7303330974</v>
      </c>
      <c r="C65" s="24" t="s">
        <v>98</v>
      </c>
      <c r="D65" s="79">
        <v>45037</v>
      </c>
      <c r="E65" s="77">
        <v>45190</v>
      </c>
      <c r="F65" s="81">
        <v>2856</v>
      </c>
      <c r="G65" s="84">
        <v>12</v>
      </c>
      <c r="H65" s="76">
        <v>5</v>
      </c>
      <c r="I65" s="81">
        <v>238</v>
      </c>
      <c r="J65" s="24">
        <v>4</v>
      </c>
      <c r="K65" s="24">
        <v>2023</v>
      </c>
      <c r="L65" s="24">
        <v>9</v>
      </c>
      <c r="M65" s="24">
        <v>2023</v>
      </c>
    </row>
    <row r="66" spans="1:13">
      <c r="A66" s="24" t="s">
        <v>34</v>
      </c>
      <c r="B66" s="24">
        <v>7303330974</v>
      </c>
      <c r="C66" s="24" t="s">
        <v>98</v>
      </c>
      <c r="D66" s="79">
        <v>45037</v>
      </c>
      <c r="E66" s="77">
        <v>45220</v>
      </c>
      <c r="F66" s="81">
        <v>2856</v>
      </c>
      <c r="G66" s="84">
        <v>12</v>
      </c>
      <c r="H66" s="76">
        <v>6</v>
      </c>
      <c r="I66" s="81">
        <v>238</v>
      </c>
      <c r="J66" s="24">
        <v>4</v>
      </c>
      <c r="K66" s="24">
        <v>2023</v>
      </c>
      <c r="L66" s="24">
        <v>10</v>
      </c>
      <c r="M66" s="24">
        <v>2023</v>
      </c>
    </row>
    <row r="67" spans="1:13">
      <c r="A67" s="24" t="s">
        <v>34</v>
      </c>
      <c r="B67" s="24">
        <v>7303330974</v>
      </c>
      <c r="C67" s="24" t="s">
        <v>98</v>
      </c>
      <c r="D67" s="79">
        <v>45037</v>
      </c>
      <c r="E67" s="77">
        <v>45251</v>
      </c>
      <c r="F67" s="81">
        <v>2856</v>
      </c>
      <c r="G67" s="84">
        <v>12</v>
      </c>
      <c r="H67" s="76">
        <v>7</v>
      </c>
      <c r="I67" s="81">
        <v>238</v>
      </c>
      <c r="J67" s="24">
        <v>4</v>
      </c>
      <c r="K67" s="24">
        <v>2023</v>
      </c>
      <c r="L67" s="24">
        <v>11</v>
      </c>
      <c r="M67" s="24">
        <v>2023</v>
      </c>
    </row>
    <row r="68" spans="1:13">
      <c r="A68" s="24" t="s">
        <v>34</v>
      </c>
      <c r="B68" s="24">
        <v>7303330974</v>
      </c>
      <c r="C68" s="24" t="s">
        <v>98</v>
      </c>
      <c r="D68" s="79">
        <v>45037</v>
      </c>
      <c r="E68" s="77">
        <v>45281</v>
      </c>
      <c r="F68" s="81">
        <v>2856</v>
      </c>
      <c r="G68" s="84">
        <v>12</v>
      </c>
      <c r="H68" s="76">
        <v>8</v>
      </c>
      <c r="I68" s="81">
        <v>238</v>
      </c>
      <c r="J68" s="24">
        <v>4</v>
      </c>
      <c r="K68" s="24">
        <v>2023</v>
      </c>
      <c r="L68" s="24">
        <v>12</v>
      </c>
      <c r="M68" s="24">
        <v>2023</v>
      </c>
    </row>
    <row r="69" spans="1:13">
      <c r="A69" s="24" t="s">
        <v>34</v>
      </c>
      <c r="B69" s="24">
        <v>7303330974</v>
      </c>
      <c r="C69" s="24" t="s">
        <v>98</v>
      </c>
      <c r="D69" s="79">
        <v>45037</v>
      </c>
      <c r="E69" s="77">
        <v>45312</v>
      </c>
      <c r="F69" s="81">
        <v>2856</v>
      </c>
      <c r="G69" s="84">
        <v>12</v>
      </c>
      <c r="H69" s="76">
        <v>9</v>
      </c>
      <c r="I69" s="81">
        <v>238</v>
      </c>
      <c r="J69" s="24">
        <v>4</v>
      </c>
      <c r="K69" s="24">
        <v>2023</v>
      </c>
      <c r="L69" s="24">
        <v>1</v>
      </c>
      <c r="M69" s="24">
        <v>2024</v>
      </c>
    </row>
    <row r="70" spans="1:13">
      <c r="A70" s="24" t="s">
        <v>34</v>
      </c>
      <c r="B70" s="24">
        <v>7303330974</v>
      </c>
      <c r="C70" s="24" t="s">
        <v>98</v>
      </c>
      <c r="D70" s="79">
        <v>45037</v>
      </c>
      <c r="E70" s="77">
        <v>45343</v>
      </c>
      <c r="F70" s="81">
        <v>2856</v>
      </c>
      <c r="G70" s="84">
        <v>12</v>
      </c>
      <c r="H70" s="76">
        <v>10</v>
      </c>
      <c r="I70" s="81">
        <v>238</v>
      </c>
      <c r="J70" s="24">
        <v>4</v>
      </c>
      <c r="K70" s="24">
        <v>2023</v>
      </c>
      <c r="L70" s="24">
        <v>2</v>
      </c>
      <c r="M70" s="24">
        <v>2024</v>
      </c>
    </row>
    <row r="71" spans="1:13">
      <c r="A71" s="24" t="s">
        <v>34</v>
      </c>
      <c r="B71" s="24">
        <v>7303330974</v>
      </c>
      <c r="C71" s="24" t="s">
        <v>98</v>
      </c>
      <c r="D71" s="79">
        <v>45037</v>
      </c>
      <c r="E71" s="77">
        <v>45372</v>
      </c>
      <c r="F71" s="81">
        <v>2856</v>
      </c>
      <c r="G71" s="84">
        <v>12</v>
      </c>
      <c r="H71" s="76">
        <v>11</v>
      </c>
      <c r="I71" s="81">
        <v>238</v>
      </c>
      <c r="J71" s="24">
        <v>4</v>
      </c>
      <c r="K71" s="24">
        <v>2023</v>
      </c>
      <c r="L71" s="24">
        <v>3</v>
      </c>
      <c r="M71" s="24">
        <v>2024</v>
      </c>
    </row>
    <row r="72" spans="1:13">
      <c r="A72" s="24" t="s">
        <v>34</v>
      </c>
      <c r="B72" s="24">
        <v>7303330974</v>
      </c>
      <c r="C72" s="24" t="s">
        <v>98</v>
      </c>
      <c r="D72" s="79">
        <v>45037</v>
      </c>
      <c r="E72" s="77">
        <v>45403</v>
      </c>
      <c r="F72" s="81">
        <v>2856</v>
      </c>
      <c r="G72" s="84">
        <v>12</v>
      </c>
      <c r="H72" s="76">
        <v>12</v>
      </c>
      <c r="I72" s="81">
        <v>238</v>
      </c>
      <c r="J72" s="24">
        <v>4</v>
      </c>
      <c r="K72" s="24">
        <v>2023</v>
      </c>
      <c r="L72" s="24">
        <v>4</v>
      </c>
      <c r="M72" s="24">
        <v>2024</v>
      </c>
    </row>
    <row r="73" spans="1:13">
      <c r="A73" s="24" t="s">
        <v>34</v>
      </c>
      <c r="B73" s="24">
        <v>7303330974</v>
      </c>
      <c r="C73" s="24" t="s">
        <v>85</v>
      </c>
      <c r="D73" s="79">
        <v>44606</v>
      </c>
      <c r="E73" s="77">
        <v>44634</v>
      </c>
      <c r="F73" s="81">
        <v>1000</v>
      </c>
      <c r="G73" s="84">
        <v>10</v>
      </c>
      <c r="H73" s="76">
        <v>1</v>
      </c>
      <c r="I73" s="81">
        <v>100</v>
      </c>
      <c r="J73" s="24">
        <v>2</v>
      </c>
      <c r="K73" s="24">
        <v>2022</v>
      </c>
      <c r="L73" s="24">
        <v>3</v>
      </c>
      <c r="M73" s="24">
        <v>2022</v>
      </c>
    </row>
    <row r="74" spans="1:13">
      <c r="A74" s="24" t="s">
        <v>34</v>
      </c>
      <c r="B74" s="24">
        <v>7303330974</v>
      </c>
      <c r="C74" s="24" t="s">
        <v>85</v>
      </c>
      <c r="D74" s="79">
        <v>44606</v>
      </c>
      <c r="E74" s="77">
        <v>44665</v>
      </c>
      <c r="F74" s="81">
        <v>1000</v>
      </c>
      <c r="G74" s="84">
        <v>10</v>
      </c>
      <c r="H74" s="76">
        <v>2</v>
      </c>
      <c r="I74" s="81">
        <v>100</v>
      </c>
      <c r="J74" s="24">
        <v>2</v>
      </c>
      <c r="K74" s="24">
        <v>2022</v>
      </c>
      <c r="L74" s="24">
        <v>4</v>
      </c>
      <c r="M74" s="24">
        <v>2022</v>
      </c>
    </row>
    <row r="75" spans="1:13">
      <c r="A75" s="24" t="s">
        <v>34</v>
      </c>
      <c r="B75" s="24">
        <v>7303330974</v>
      </c>
      <c r="C75" s="24" t="s">
        <v>85</v>
      </c>
      <c r="D75" s="79">
        <v>44606</v>
      </c>
      <c r="E75" s="77">
        <v>44695</v>
      </c>
      <c r="F75" s="81">
        <v>1000</v>
      </c>
      <c r="G75" s="84">
        <v>10</v>
      </c>
      <c r="H75" s="76">
        <v>3</v>
      </c>
      <c r="I75" s="81">
        <v>100</v>
      </c>
      <c r="J75" s="24">
        <v>2</v>
      </c>
      <c r="K75" s="24">
        <v>2022</v>
      </c>
      <c r="L75" s="24">
        <v>5</v>
      </c>
      <c r="M75" s="24">
        <v>2022</v>
      </c>
    </row>
    <row r="76" spans="1:13">
      <c r="A76" s="24" t="s">
        <v>34</v>
      </c>
      <c r="B76" s="24">
        <v>7303330974</v>
      </c>
      <c r="C76" s="24" t="s">
        <v>85</v>
      </c>
      <c r="D76" s="79">
        <v>44606</v>
      </c>
      <c r="E76" s="77">
        <v>44726</v>
      </c>
      <c r="F76" s="81">
        <v>1000</v>
      </c>
      <c r="G76" s="84">
        <v>10</v>
      </c>
      <c r="H76" s="76">
        <v>4</v>
      </c>
      <c r="I76" s="81">
        <v>100</v>
      </c>
      <c r="J76" s="24">
        <v>2</v>
      </c>
      <c r="K76" s="24">
        <v>2022</v>
      </c>
      <c r="L76" s="24">
        <v>6</v>
      </c>
      <c r="M76" s="24">
        <v>2022</v>
      </c>
    </row>
    <row r="77" spans="1:13">
      <c r="A77" s="24" t="s">
        <v>34</v>
      </c>
      <c r="B77" s="24">
        <v>7303330974</v>
      </c>
      <c r="C77" s="24" t="s">
        <v>85</v>
      </c>
      <c r="D77" s="79">
        <v>44606</v>
      </c>
      <c r="E77" s="77">
        <v>44756</v>
      </c>
      <c r="F77" s="81">
        <v>1000</v>
      </c>
      <c r="G77" s="84">
        <v>10</v>
      </c>
      <c r="H77" s="76">
        <v>5</v>
      </c>
      <c r="I77" s="81">
        <v>100</v>
      </c>
      <c r="J77" s="24">
        <v>2</v>
      </c>
      <c r="K77" s="24">
        <v>2022</v>
      </c>
      <c r="L77" s="24">
        <v>7</v>
      </c>
      <c r="M77" s="24">
        <v>2022</v>
      </c>
    </row>
    <row r="78" spans="1:13">
      <c r="A78" s="24" t="s">
        <v>34</v>
      </c>
      <c r="B78" s="24">
        <v>7303330974</v>
      </c>
      <c r="C78" s="24" t="s">
        <v>85</v>
      </c>
      <c r="D78" s="79">
        <v>44606</v>
      </c>
      <c r="E78" s="77">
        <v>44787</v>
      </c>
      <c r="F78" s="81">
        <v>1000</v>
      </c>
      <c r="G78" s="84">
        <v>10</v>
      </c>
      <c r="H78" s="76">
        <v>6</v>
      </c>
      <c r="I78" s="81">
        <v>100</v>
      </c>
      <c r="J78" s="24">
        <v>2</v>
      </c>
      <c r="K78" s="24">
        <v>2022</v>
      </c>
      <c r="L78" s="24">
        <v>8</v>
      </c>
      <c r="M78" s="24">
        <v>2022</v>
      </c>
    </row>
    <row r="79" spans="1:13">
      <c r="A79" s="24" t="s">
        <v>34</v>
      </c>
      <c r="B79" s="24">
        <v>7303330974</v>
      </c>
      <c r="C79" s="24" t="s">
        <v>85</v>
      </c>
      <c r="D79" s="79">
        <v>44606</v>
      </c>
      <c r="E79" s="77">
        <v>44818</v>
      </c>
      <c r="F79" s="81">
        <v>1000</v>
      </c>
      <c r="G79" s="84">
        <v>10</v>
      </c>
      <c r="H79" s="76">
        <v>7</v>
      </c>
      <c r="I79" s="81">
        <v>100</v>
      </c>
      <c r="J79" s="24">
        <v>2</v>
      </c>
      <c r="K79" s="24">
        <v>2022</v>
      </c>
      <c r="L79" s="24">
        <v>9</v>
      </c>
      <c r="M79" s="24">
        <v>2022</v>
      </c>
    </row>
    <row r="80" spans="1:13">
      <c r="A80" s="24" t="s">
        <v>34</v>
      </c>
      <c r="B80" s="24">
        <v>7303330974</v>
      </c>
      <c r="C80" s="24" t="s">
        <v>85</v>
      </c>
      <c r="D80" s="79">
        <v>44606</v>
      </c>
      <c r="E80" s="77">
        <v>44848</v>
      </c>
      <c r="F80" s="81">
        <v>1000</v>
      </c>
      <c r="G80" s="84">
        <v>10</v>
      </c>
      <c r="H80" s="76">
        <v>8</v>
      </c>
      <c r="I80" s="81">
        <v>100</v>
      </c>
      <c r="J80" s="24">
        <v>2</v>
      </c>
      <c r="K80" s="24">
        <v>2022</v>
      </c>
      <c r="L80" s="24">
        <v>10</v>
      </c>
      <c r="M80" s="24">
        <v>2022</v>
      </c>
    </row>
    <row r="81" spans="1:13">
      <c r="A81" s="24" t="s">
        <v>34</v>
      </c>
      <c r="B81" s="24">
        <v>7303330974</v>
      </c>
      <c r="C81" s="24" t="s">
        <v>85</v>
      </c>
      <c r="D81" s="79">
        <v>44606</v>
      </c>
      <c r="E81" s="77">
        <v>44879</v>
      </c>
      <c r="F81" s="81">
        <v>1000</v>
      </c>
      <c r="G81" s="84">
        <v>10</v>
      </c>
      <c r="H81" s="76">
        <v>9</v>
      </c>
      <c r="I81" s="81">
        <v>100</v>
      </c>
      <c r="J81" s="24">
        <v>2</v>
      </c>
      <c r="K81" s="24">
        <v>2022</v>
      </c>
      <c r="L81" s="24">
        <v>11</v>
      </c>
      <c r="M81" s="24">
        <v>2022</v>
      </c>
    </row>
    <row r="82" spans="1:13">
      <c r="A82" s="24" t="s">
        <v>34</v>
      </c>
      <c r="B82" s="24">
        <v>7303330974</v>
      </c>
      <c r="C82" s="24" t="s">
        <v>85</v>
      </c>
      <c r="D82" s="79">
        <v>44606</v>
      </c>
      <c r="E82" s="77">
        <v>44909</v>
      </c>
      <c r="F82" s="81">
        <v>1000</v>
      </c>
      <c r="G82" s="84">
        <v>10</v>
      </c>
      <c r="H82" s="76">
        <v>10</v>
      </c>
      <c r="I82" s="81">
        <v>100</v>
      </c>
      <c r="J82" s="24">
        <v>2</v>
      </c>
      <c r="K82" s="24">
        <v>2022</v>
      </c>
      <c r="L82" s="24">
        <v>12</v>
      </c>
      <c r="M82" s="24">
        <v>2022</v>
      </c>
    </row>
    <row r="83" spans="1:13">
      <c r="A83" s="24" t="s">
        <v>34</v>
      </c>
      <c r="B83" s="24">
        <v>7303330974</v>
      </c>
      <c r="C83" s="24" t="s">
        <v>85</v>
      </c>
      <c r="D83" s="79">
        <v>44606</v>
      </c>
      <c r="E83" s="77">
        <v>44634</v>
      </c>
      <c r="F83" s="81">
        <v>1000</v>
      </c>
      <c r="G83" s="84">
        <v>12</v>
      </c>
      <c r="H83" s="76">
        <v>1</v>
      </c>
      <c r="I83" s="81">
        <v>83.333333333333329</v>
      </c>
      <c r="J83" s="24">
        <v>2</v>
      </c>
      <c r="K83" s="24">
        <v>2022</v>
      </c>
      <c r="L83" s="24">
        <v>3</v>
      </c>
      <c r="M83" s="24">
        <v>2022</v>
      </c>
    </row>
    <row r="84" spans="1:13">
      <c r="A84" s="24" t="s">
        <v>34</v>
      </c>
      <c r="B84" s="24">
        <v>7303330974</v>
      </c>
      <c r="C84" s="24" t="s">
        <v>85</v>
      </c>
      <c r="D84" s="79">
        <v>44606</v>
      </c>
      <c r="E84" s="77">
        <v>44665</v>
      </c>
      <c r="F84" s="81">
        <v>1000</v>
      </c>
      <c r="G84" s="84">
        <v>12</v>
      </c>
      <c r="H84" s="76">
        <v>2</v>
      </c>
      <c r="I84" s="81">
        <v>83.333333333333329</v>
      </c>
      <c r="J84" s="24">
        <v>2</v>
      </c>
      <c r="K84" s="24">
        <v>2022</v>
      </c>
      <c r="L84" s="24">
        <v>4</v>
      </c>
      <c r="M84" s="24">
        <v>2022</v>
      </c>
    </row>
    <row r="85" spans="1:13">
      <c r="A85" s="24" t="s">
        <v>34</v>
      </c>
      <c r="B85" s="24">
        <v>7303330974</v>
      </c>
      <c r="C85" s="24" t="s">
        <v>85</v>
      </c>
      <c r="D85" s="79">
        <v>44606</v>
      </c>
      <c r="E85" s="77">
        <v>44695</v>
      </c>
      <c r="F85" s="81">
        <v>1000</v>
      </c>
      <c r="G85" s="84">
        <v>12</v>
      </c>
      <c r="H85" s="76">
        <v>3</v>
      </c>
      <c r="I85" s="81">
        <v>83.333333333333329</v>
      </c>
      <c r="J85" s="24">
        <v>2</v>
      </c>
      <c r="K85" s="24">
        <v>2022</v>
      </c>
      <c r="L85" s="24">
        <v>5</v>
      </c>
      <c r="M85" s="24">
        <v>2022</v>
      </c>
    </row>
    <row r="86" spans="1:13">
      <c r="A86" s="24" t="s">
        <v>34</v>
      </c>
      <c r="B86" s="24">
        <v>7303330974</v>
      </c>
      <c r="C86" s="24" t="s">
        <v>85</v>
      </c>
      <c r="D86" s="79">
        <v>44606</v>
      </c>
      <c r="E86" s="77">
        <v>44726</v>
      </c>
      <c r="F86" s="81">
        <v>1000</v>
      </c>
      <c r="G86" s="84">
        <v>12</v>
      </c>
      <c r="H86" s="76">
        <v>4</v>
      </c>
      <c r="I86" s="81">
        <v>83.333333333333329</v>
      </c>
      <c r="J86" s="24">
        <v>2</v>
      </c>
      <c r="K86" s="24">
        <v>2022</v>
      </c>
      <c r="L86" s="24">
        <v>6</v>
      </c>
      <c r="M86" s="24">
        <v>2022</v>
      </c>
    </row>
    <row r="87" spans="1:13">
      <c r="A87" s="24" t="s">
        <v>34</v>
      </c>
      <c r="B87" s="24">
        <v>7303330974</v>
      </c>
      <c r="C87" s="24" t="s">
        <v>85</v>
      </c>
      <c r="D87" s="79">
        <v>44606</v>
      </c>
      <c r="E87" s="77">
        <v>44756</v>
      </c>
      <c r="F87" s="81">
        <v>1000</v>
      </c>
      <c r="G87" s="84">
        <v>12</v>
      </c>
      <c r="H87" s="76">
        <v>5</v>
      </c>
      <c r="I87" s="81">
        <v>83.333333333333329</v>
      </c>
      <c r="J87" s="24">
        <v>2</v>
      </c>
      <c r="K87" s="24">
        <v>2022</v>
      </c>
      <c r="L87" s="24">
        <v>7</v>
      </c>
      <c r="M87" s="24">
        <v>2022</v>
      </c>
    </row>
    <row r="88" spans="1:13">
      <c r="A88" s="24" t="s">
        <v>34</v>
      </c>
      <c r="B88" s="24">
        <v>7303330974</v>
      </c>
      <c r="C88" s="24" t="s">
        <v>85</v>
      </c>
      <c r="D88" s="79">
        <v>44606</v>
      </c>
      <c r="E88" s="77">
        <v>44787</v>
      </c>
      <c r="F88" s="81">
        <v>1000</v>
      </c>
      <c r="G88" s="84">
        <v>12</v>
      </c>
      <c r="H88" s="76">
        <v>6</v>
      </c>
      <c r="I88" s="81">
        <v>83.333333333333329</v>
      </c>
      <c r="J88" s="24">
        <v>2</v>
      </c>
      <c r="K88" s="24">
        <v>2022</v>
      </c>
      <c r="L88" s="24">
        <v>8</v>
      </c>
      <c r="M88" s="24">
        <v>2022</v>
      </c>
    </row>
    <row r="89" spans="1:13">
      <c r="A89" s="24" t="s">
        <v>34</v>
      </c>
      <c r="B89" s="24">
        <v>7303330974</v>
      </c>
      <c r="C89" s="24" t="s">
        <v>85</v>
      </c>
      <c r="D89" s="79">
        <v>44606</v>
      </c>
      <c r="E89" s="77">
        <v>44818</v>
      </c>
      <c r="F89" s="81">
        <v>1000</v>
      </c>
      <c r="G89" s="84">
        <v>12</v>
      </c>
      <c r="H89" s="76">
        <v>7</v>
      </c>
      <c r="I89" s="81">
        <v>83.333333333333329</v>
      </c>
      <c r="J89" s="24">
        <v>2</v>
      </c>
      <c r="K89" s="24">
        <v>2022</v>
      </c>
      <c r="L89" s="24">
        <v>9</v>
      </c>
      <c r="M89" s="24">
        <v>2022</v>
      </c>
    </row>
    <row r="90" spans="1:13">
      <c r="A90" s="24" t="s">
        <v>34</v>
      </c>
      <c r="B90" s="24">
        <v>7303330974</v>
      </c>
      <c r="C90" s="24" t="s">
        <v>85</v>
      </c>
      <c r="D90" s="79">
        <v>44606</v>
      </c>
      <c r="E90" s="77">
        <v>44848</v>
      </c>
      <c r="F90" s="81">
        <v>1000</v>
      </c>
      <c r="G90" s="84">
        <v>12</v>
      </c>
      <c r="H90" s="76">
        <v>8</v>
      </c>
      <c r="I90" s="81">
        <v>83.333333333333329</v>
      </c>
      <c r="J90" s="24">
        <v>2</v>
      </c>
      <c r="K90" s="24">
        <v>2022</v>
      </c>
      <c r="L90" s="24">
        <v>10</v>
      </c>
      <c r="M90" s="24">
        <v>2022</v>
      </c>
    </row>
    <row r="91" spans="1:13">
      <c r="A91" s="24" t="s">
        <v>34</v>
      </c>
      <c r="B91" s="24">
        <v>7303330974</v>
      </c>
      <c r="C91" s="24" t="s">
        <v>85</v>
      </c>
      <c r="D91" s="79">
        <v>44606</v>
      </c>
      <c r="E91" s="77">
        <v>44879</v>
      </c>
      <c r="F91" s="81">
        <v>1000</v>
      </c>
      <c r="G91" s="84">
        <v>12</v>
      </c>
      <c r="H91" s="76">
        <v>9</v>
      </c>
      <c r="I91" s="81">
        <v>83.333333333333329</v>
      </c>
      <c r="J91" s="24">
        <v>2</v>
      </c>
      <c r="K91" s="24">
        <v>2022</v>
      </c>
      <c r="L91" s="24">
        <v>11</v>
      </c>
      <c r="M91" s="24">
        <v>2022</v>
      </c>
    </row>
    <row r="92" spans="1:13">
      <c r="A92" s="24" t="s">
        <v>34</v>
      </c>
      <c r="B92" s="24">
        <v>7303330974</v>
      </c>
      <c r="C92" s="24" t="s">
        <v>85</v>
      </c>
      <c r="D92" s="79">
        <v>44606</v>
      </c>
      <c r="E92" s="77">
        <v>44909</v>
      </c>
      <c r="F92" s="81">
        <v>1000</v>
      </c>
      <c r="G92" s="84">
        <v>12</v>
      </c>
      <c r="H92" s="76">
        <v>10</v>
      </c>
      <c r="I92" s="81">
        <v>83.333333333333329</v>
      </c>
      <c r="J92" s="24">
        <v>2</v>
      </c>
      <c r="K92" s="24">
        <v>2022</v>
      </c>
      <c r="L92" s="24">
        <v>12</v>
      </c>
      <c r="M92" s="24">
        <v>2022</v>
      </c>
    </row>
    <row r="93" spans="1:13">
      <c r="A93" s="24" t="s">
        <v>34</v>
      </c>
      <c r="B93" s="24">
        <v>7303330974</v>
      </c>
      <c r="C93" s="24" t="s">
        <v>85</v>
      </c>
      <c r="D93" s="79">
        <v>44606</v>
      </c>
      <c r="E93" s="77">
        <v>44940</v>
      </c>
      <c r="F93" s="81">
        <v>1000</v>
      </c>
      <c r="G93" s="84">
        <v>12</v>
      </c>
      <c r="H93" s="76">
        <v>11</v>
      </c>
      <c r="I93" s="81">
        <v>83.333333333333329</v>
      </c>
      <c r="J93" s="24">
        <v>2</v>
      </c>
      <c r="K93" s="24">
        <v>2022</v>
      </c>
      <c r="L93" s="24">
        <v>1</v>
      </c>
      <c r="M93" s="24">
        <v>2023</v>
      </c>
    </row>
    <row r="94" spans="1:13">
      <c r="A94" s="24" t="s">
        <v>34</v>
      </c>
      <c r="B94" s="24">
        <v>7303330974</v>
      </c>
      <c r="C94" s="24" t="s">
        <v>85</v>
      </c>
      <c r="D94" s="79">
        <v>44606</v>
      </c>
      <c r="E94" s="77">
        <v>44971</v>
      </c>
      <c r="F94" s="81">
        <v>1000</v>
      </c>
      <c r="G94" s="84">
        <v>12</v>
      </c>
      <c r="H94" s="76">
        <v>12</v>
      </c>
      <c r="I94" s="81">
        <v>83.333333333333329</v>
      </c>
      <c r="J94" s="24">
        <v>2</v>
      </c>
      <c r="K94" s="24">
        <v>2022</v>
      </c>
      <c r="L94" s="24">
        <v>2</v>
      </c>
      <c r="M94" s="24">
        <v>2023</v>
      </c>
    </row>
    <row r="95" spans="1:13">
      <c r="A95" s="24" t="s">
        <v>34</v>
      </c>
      <c r="B95" s="24">
        <v>7303330974</v>
      </c>
      <c r="C95" s="24" t="s">
        <v>85</v>
      </c>
      <c r="D95" s="79">
        <v>44606</v>
      </c>
      <c r="E95" s="77">
        <v>44634</v>
      </c>
      <c r="F95" s="81">
        <v>1000</v>
      </c>
      <c r="G95" s="84">
        <v>4</v>
      </c>
      <c r="H95" s="76">
        <v>1</v>
      </c>
      <c r="I95" s="81">
        <v>250</v>
      </c>
      <c r="J95" s="24">
        <v>2</v>
      </c>
      <c r="K95" s="24">
        <v>2022</v>
      </c>
      <c r="L95" s="24">
        <v>3</v>
      </c>
      <c r="M95" s="24">
        <v>2022</v>
      </c>
    </row>
    <row r="96" spans="1:13">
      <c r="A96" s="24" t="s">
        <v>34</v>
      </c>
      <c r="B96" s="24">
        <v>7303330974</v>
      </c>
      <c r="C96" s="24" t="s">
        <v>85</v>
      </c>
      <c r="D96" s="79">
        <v>44606</v>
      </c>
      <c r="E96" s="77">
        <v>44665</v>
      </c>
      <c r="F96" s="81">
        <v>1000</v>
      </c>
      <c r="G96" s="84">
        <v>4</v>
      </c>
      <c r="H96" s="76">
        <v>2</v>
      </c>
      <c r="I96" s="81">
        <v>250</v>
      </c>
      <c r="J96" s="24">
        <v>2</v>
      </c>
      <c r="K96" s="24">
        <v>2022</v>
      </c>
      <c r="L96" s="24">
        <v>4</v>
      </c>
      <c r="M96" s="24">
        <v>2022</v>
      </c>
    </row>
    <row r="97" spans="1:13">
      <c r="A97" s="24" t="s">
        <v>34</v>
      </c>
      <c r="B97" s="24">
        <v>7303330974</v>
      </c>
      <c r="C97" s="24" t="s">
        <v>85</v>
      </c>
      <c r="D97" s="79">
        <v>44606</v>
      </c>
      <c r="E97" s="77">
        <v>44695</v>
      </c>
      <c r="F97" s="81">
        <v>1000</v>
      </c>
      <c r="G97" s="84">
        <v>4</v>
      </c>
      <c r="H97" s="76">
        <v>3</v>
      </c>
      <c r="I97" s="81">
        <v>250</v>
      </c>
      <c r="J97" s="24">
        <v>2</v>
      </c>
      <c r="K97" s="24">
        <v>2022</v>
      </c>
      <c r="L97" s="24">
        <v>5</v>
      </c>
      <c r="M97" s="24">
        <v>2022</v>
      </c>
    </row>
    <row r="98" spans="1:13">
      <c r="A98" s="24" t="s">
        <v>34</v>
      </c>
      <c r="B98" s="24">
        <v>7303330974</v>
      </c>
      <c r="C98" s="24" t="s">
        <v>85</v>
      </c>
      <c r="D98" s="79">
        <v>44606</v>
      </c>
      <c r="E98" s="77">
        <v>44726</v>
      </c>
      <c r="F98" s="81">
        <v>1000</v>
      </c>
      <c r="G98" s="84">
        <v>4</v>
      </c>
      <c r="H98" s="76">
        <v>4</v>
      </c>
      <c r="I98" s="81">
        <v>250</v>
      </c>
      <c r="J98" s="24">
        <v>2</v>
      </c>
      <c r="K98" s="24">
        <v>2022</v>
      </c>
      <c r="L98" s="24">
        <v>6</v>
      </c>
      <c r="M98" s="24">
        <v>2022</v>
      </c>
    </row>
    <row r="99" spans="1:13">
      <c r="A99" s="24" t="s">
        <v>34</v>
      </c>
      <c r="B99" s="24">
        <v>7303330974</v>
      </c>
      <c r="C99" s="24" t="s">
        <v>85</v>
      </c>
      <c r="D99" s="79">
        <v>44606</v>
      </c>
      <c r="E99" s="77">
        <v>44634</v>
      </c>
      <c r="F99" s="81">
        <v>1000</v>
      </c>
      <c r="G99" s="84">
        <v>3</v>
      </c>
      <c r="H99" s="76">
        <v>1</v>
      </c>
      <c r="I99" s="81">
        <v>333.33333333333331</v>
      </c>
      <c r="J99" s="24">
        <v>2</v>
      </c>
      <c r="K99" s="24">
        <v>2022</v>
      </c>
      <c r="L99" s="24">
        <v>3</v>
      </c>
      <c r="M99" s="24">
        <v>2022</v>
      </c>
    </row>
    <row r="100" spans="1:13">
      <c r="A100" s="24" t="s">
        <v>34</v>
      </c>
      <c r="B100" s="24">
        <v>7303330974</v>
      </c>
      <c r="C100" s="24" t="s">
        <v>85</v>
      </c>
      <c r="D100" s="79">
        <v>44606</v>
      </c>
      <c r="E100" s="77">
        <v>44665</v>
      </c>
      <c r="F100" s="81">
        <v>1000</v>
      </c>
      <c r="G100" s="84">
        <v>3</v>
      </c>
      <c r="H100" s="76">
        <v>2</v>
      </c>
      <c r="I100" s="81">
        <v>333.33333333333331</v>
      </c>
      <c r="J100" s="24">
        <v>2</v>
      </c>
      <c r="K100" s="24">
        <v>2022</v>
      </c>
      <c r="L100" s="24">
        <v>4</v>
      </c>
      <c r="M100" s="24">
        <v>2022</v>
      </c>
    </row>
    <row r="101" spans="1:13">
      <c r="A101" s="24" t="s">
        <v>34</v>
      </c>
      <c r="B101" s="24">
        <v>7303330974</v>
      </c>
      <c r="C101" s="24" t="s">
        <v>85</v>
      </c>
      <c r="D101" s="79">
        <v>44606</v>
      </c>
      <c r="E101" s="77">
        <v>44695</v>
      </c>
      <c r="F101" s="81">
        <v>1000</v>
      </c>
      <c r="G101" s="84">
        <v>3</v>
      </c>
      <c r="H101" s="76">
        <v>3</v>
      </c>
      <c r="I101" s="81">
        <v>333.33333333333331</v>
      </c>
      <c r="J101" s="24">
        <v>2</v>
      </c>
      <c r="K101" s="24">
        <v>2022</v>
      </c>
      <c r="L101" s="24">
        <v>5</v>
      </c>
      <c r="M101" s="24">
        <v>2022</v>
      </c>
    </row>
    <row r="102" spans="1:13">
      <c r="A102" s="144" t="s">
        <v>32</v>
      </c>
      <c r="B102" s="144">
        <v>13481923178</v>
      </c>
      <c r="C102" s="144" t="s">
        <v>98</v>
      </c>
      <c r="D102" s="145">
        <v>45387</v>
      </c>
      <c r="E102" s="146">
        <v>45417</v>
      </c>
      <c r="F102" s="81">
        <v>2856</v>
      </c>
      <c r="G102" s="147">
        <v>8</v>
      </c>
      <c r="H102" s="148">
        <v>1</v>
      </c>
      <c r="I102" s="81">
        <v>357</v>
      </c>
      <c r="J102" s="144">
        <v>4</v>
      </c>
      <c r="K102" s="144">
        <v>2024</v>
      </c>
      <c r="L102" s="144">
        <v>5</v>
      </c>
      <c r="M102" s="144">
        <v>2024</v>
      </c>
    </row>
    <row r="103" spans="1:13">
      <c r="A103" s="144" t="s">
        <v>32</v>
      </c>
      <c r="B103" s="144">
        <v>13481923178</v>
      </c>
      <c r="C103" s="144" t="s">
        <v>98</v>
      </c>
      <c r="D103" s="145">
        <v>45387</v>
      </c>
      <c r="E103" s="146">
        <v>45448</v>
      </c>
      <c r="F103" s="81">
        <v>2856</v>
      </c>
      <c r="G103" s="147">
        <v>8</v>
      </c>
      <c r="H103" s="148">
        <v>2</v>
      </c>
      <c r="I103" s="81">
        <v>357</v>
      </c>
      <c r="J103" s="144">
        <v>4</v>
      </c>
      <c r="K103" s="144">
        <v>2024</v>
      </c>
      <c r="L103" s="144">
        <v>6</v>
      </c>
      <c r="M103" s="144">
        <v>2024</v>
      </c>
    </row>
    <row r="104" spans="1:13">
      <c r="A104" s="144" t="s">
        <v>32</v>
      </c>
      <c r="B104" s="144">
        <v>13481923178</v>
      </c>
      <c r="C104" s="144" t="s">
        <v>98</v>
      </c>
      <c r="D104" s="145">
        <v>45387</v>
      </c>
      <c r="E104" s="146">
        <v>45478</v>
      </c>
      <c r="F104" s="81">
        <v>2856</v>
      </c>
      <c r="G104" s="147">
        <v>8</v>
      </c>
      <c r="H104" s="148">
        <v>3</v>
      </c>
      <c r="I104" s="81">
        <v>357</v>
      </c>
      <c r="J104" s="144">
        <v>4</v>
      </c>
      <c r="K104" s="144">
        <v>2024</v>
      </c>
      <c r="L104" s="144">
        <v>7</v>
      </c>
      <c r="M104" s="144">
        <v>2024</v>
      </c>
    </row>
    <row r="105" spans="1:13">
      <c r="A105" s="144" t="s">
        <v>32</v>
      </c>
      <c r="B105" s="144">
        <v>13481923178</v>
      </c>
      <c r="C105" s="144" t="s">
        <v>98</v>
      </c>
      <c r="D105" s="145">
        <v>45387</v>
      </c>
      <c r="E105" s="146">
        <v>45509</v>
      </c>
      <c r="F105" s="81">
        <v>2856</v>
      </c>
      <c r="G105" s="147">
        <v>8</v>
      </c>
      <c r="H105" s="148">
        <v>4</v>
      </c>
      <c r="I105" s="81">
        <v>357</v>
      </c>
      <c r="J105" s="144">
        <v>4</v>
      </c>
      <c r="K105" s="144">
        <v>2024</v>
      </c>
      <c r="L105" s="144">
        <v>8</v>
      </c>
      <c r="M105" s="144">
        <v>2024</v>
      </c>
    </row>
    <row r="106" spans="1:13">
      <c r="A106" s="144" t="s">
        <v>32</v>
      </c>
      <c r="B106" s="144">
        <v>13481923178</v>
      </c>
      <c r="C106" s="144" t="s">
        <v>98</v>
      </c>
      <c r="D106" s="145">
        <v>45387</v>
      </c>
      <c r="E106" s="146">
        <v>45540</v>
      </c>
      <c r="F106" s="81">
        <v>2856</v>
      </c>
      <c r="G106" s="147">
        <v>8</v>
      </c>
      <c r="H106" s="148">
        <v>5</v>
      </c>
      <c r="I106" s="81">
        <v>357</v>
      </c>
      <c r="J106" s="144">
        <v>4</v>
      </c>
      <c r="K106" s="144">
        <v>2024</v>
      </c>
      <c r="L106" s="144">
        <v>9</v>
      </c>
      <c r="M106" s="144">
        <v>2024</v>
      </c>
    </row>
    <row r="107" spans="1:13">
      <c r="A107" s="144" t="s">
        <v>32</v>
      </c>
      <c r="B107" s="144">
        <v>13481923178</v>
      </c>
      <c r="C107" s="144" t="s">
        <v>98</v>
      </c>
      <c r="D107" s="145">
        <v>45387</v>
      </c>
      <c r="E107" s="146">
        <v>45570</v>
      </c>
      <c r="F107" s="81">
        <v>2856</v>
      </c>
      <c r="G107" s="147">
        <v>8</v>
      </c>
      <c r="H107" s="148">
        <v>6</v>
      </c>
      <c r="I107" s="81">
        <v>357</v>
      </c>
      <c r="J107" s="144">
        <v>4</v>
      </c>
      <c r="K107" s="144">
        <v>2024</v>
      </c>
      <c r="L107" s="144">
        <v>10</v>
      </c>
      <c r="M107" s="144">
        <v>2024</v>
      </c>
    </row>
    <row r="108" spans="1:13">
      <c r="A108" s="144" t="s">
        <v>32</v>
      </c>
      <c r="B108" s="144">
        <v>13481923178</v>
      </c>
      <c r="C108" s="144" t="s">
        <v>98</v>
      </c>
      <c r="D108" s="145">
        <v>45387</v>
      </c>
      <c r="E108" s="146">
        <v>45601</v>
      </c>
      <c r="F108" s="81">
        <v>2856</v>
      </c>
      <c r="G108" s="147">
        <v>8</v>
      </c>
      <c r="H108" s="148">
        <v>7</v>
      </c>
      <c r="I108" s="81">
        <v>357</v>
      </c>
      <c r="J108" s="144">
        <v>4</v>
      </c>
      <c r="K108" s="144">
        <v>2024</v>
      </c>
      <c r="L108" s="144">
        <v>11</v>
      </c>
      <c r="M108" s="144">
        <v>2024</v>
      </c>
    </row>
    <row r="109" spans="1:13">
      <c r="A109" s="144" t="s">
        <v>32</v>
      </c>
      <c r="B109" s="144">
        <v>13481923178</v>
      </c>
      <c r="C109" s="144" t="s">
        <v>98</v>
      </c>
      <c r="D109" s="145">
        <v>45387</v>
      </c>
      <c r="E109" s="146">
        <v>45631</v>
      </c>
      <c r="F109" s="81">
        <v>2856</v>
      </c>
      <c r="G109" s="147">
        <v>8</v>
      </c>
      <c r="H109" s="148">
        <v>8</v>
      </c>
      <c r="I109" s="81">
        <v>357</v>
      </c>
      <c r="J109" s="144">
        <v>4</v>
      </c>
      <c r="K109" s="144">
        <v>2024</v>
      </c>
      <c r="L109" s="144">
        <v>12</v>
      </c>
      <c r="M109" s="144">
        <v>2024</v>
      </c>
    </row>
    <row r="110" spans="1:13" hidden="1">
      <c r="A110" s="24" t="s">
        <v>12</v>
      </c>
      <c r="B110" s="24">
        <v>202020202020</v>
      </c>
      <c r="C110" s="24" t="s">
        <v>88</v>
      </c>
      <c r="D110" s="79">
        <v>45028</v>
      </c>
      <c r="E110" s="77">
        <v>45058</v>
      </c>
      <c r="F110" s="81">
        <v>3500</v>
      </c>
      <c r="G110" s="84">
        <v>7</v>
      </c>
      <c r="H110" s="76">
        <v>1</v>
      </c>
      <c r="I110" s="81">
        <v>500</v>
      </c>
      <c r="J110" s="24">
        <v>4</v>
      </c>
      <c r="K110" s="24">
        <v>2023</v>
      </c>
      <c r="L110" s="24">
        <v>5</v>
      </c>
      <c r="M110" s="24">
        <v>2023</v>
      </c>
    </row>
    <row r="111" spans="1:13" hidden="1">
      <c r="A111" s="24" t="s">
        <v>12</v>
      </c>
      <c r="B111" s="24">
        <v>202020202020</v>
      </c>
      <c r="C111" s="24" t="s">
        <v>88</v>
      </c>
      <c r="D111" s="79">
        <v>45028</v>
      </c>
      <c r="E111" s="77">
        <v>45089</v>
      </c>
      <c r="F111" s="81">
        <v>3500</v>
      </c>
      <c r="G111" s="84">
        <v>7</v>
      </c>
      <c r="H111" s="76">
        <v>2</v>
      </c>
      <c r="I111" s="81">
        <v>500</v>
      </c>
      <c r="J111" s="24">
        <v>4</v>
      </c>
      <c r="K111" s="24">
        <v>2023</v>
      </c>
      <c r="L111" s="24">
        <v>6</v>
      </c>
      <c r="M111" s="24">
        <v>2023</v>
      </c>
    </row>
    <row r="112" spans="1:13" hidden="1">
      <c r="A112" s="24" t="s">
        <v>12</v>
      </c>
      <c r="B112" s="24">
        <v>202020202020</v>
      </c>
      <c r="C112" s="24" t="s">
        <v>88</v>
      </c>
      <c r="D112" s="79">
        <v>45028</v>
      </c>
      <c r="E112" s="77">
        <v>45119</v>
      </c>
      <c r="F112" s="81">
        <v>3500</v>
      </c>
      <c r="G112" s="84">
        <v>7</v>
      </c>
      <c r="H112" s="76">
        <v>3</v>
      </c>
      <c r="I112" s="81">
        <v>500</v>
      </c>
      <c r="J112" s="24">
        <v>4</v>
      </c>
      <c r="K112" s="24">
        <v>2023</v>
      </c>
      <c r="L112" s="24">
        <v>7</v>
      </c>
      <c r="M112" s="24">
        <v>2023</v>
      </c>
    </row>
    <row r="113" spans="1:13" hidden="1">
      <c r="A113" s="24" t="s">
        <v>12</v>
      </c>
      <c r="B113" s="24">
        <v>202020202020</v>
      </c>
      <c r="C113" s="24" t="s">
        <v>88</v>
      </c>
      <c r="D113" s="79">
        <v>45028</v>
      </c>
      <c r="E113" s="77">
        <v>45150</v>
      </c>
      <c r="F113" s="81">
        <v>3500</v>
      </c>
      <c r="G113" s="84">
        <v>7</v>
      </c>
      <c r="H113" s="76">
        <v>4</v>
      </c>
      <c r="I113" s="81">
        <v>500</v>
      </c>
      <c r="J113" s="24">
        <v>4</v>
      </c>
      <c r="K113" s="24">
        <v>2023</v>
      </c>
      <c r="L113" s="24">
        <v>8</v>
      </c>
      <c r="M113" s="24">
        <v>2023</v>
      </c>
    </row>
    <row r="114" spans="1:13" hidden="1">
      <c r="A114" s="24" t="s">
        <v>12</v>
      </c>
      <c r="B114" s="24">
        <v>202020202020</v>
      </c>
      <c r="C114" s="24" t="s">
        <v>88</v>
      </c>
      <c r="D114" s="79">
        <v>45028</v>
      </c>
      <c r="E114" s="77">
        <v>45181</v>
      </c>
      <c r="F114" s="81">
        <v>3500</v>
      </c>
      <c r="G114" s="84">
        <v>7</v>
      </c>
      <c r="H114" s="76">
        <v>5</v>
      </c>
      <c r="I114" s="81">
        <v>500</v>
      </c>
      <c r="J114" s="24">
        <v>4</v>
      </c>
      <c r="K114" s="24">
        <v>2023</v>
      </c>
      <c r="L114" s="24">
        <v>9</v>
      </c>
      <c r="M114" s="24">
        <v>2023</v>
      </c>
    </row>
    <row r="115" spans="1:13" hidden="1">
      <c r="A115" s="24" t="s">
        <v>12</v>
      </c>
      <c r="B115" s="24">
        <v>202020202020</v>
      </c>
      <c r="C115" s="24" t="s">
        <v>88</v>
      </c>
      <c r="D115" s="79">
        <v>45028</v>
      </c>
      <c r="E115" s="77">
        <v>45211</v>
      </c>
      <c r="F115" s="81">
        <v>3500</v>
      </c>
      <c r="G115" s="84">
        <v>7</v>
      </c>
      <c r="H115" s="76">
        <v>6</v>
      </c>
      <c r="I115" s="81">
        <v>500</v>
      </c>
      <c r="J115" s="24">
        <v>4</v>
      </c>
      <c r="K115" s="24">
        <v>2023</v>
      </c>
      <c r="L115" s="24">
        <v>10</v>
      </c>
      <c r="M115" s="24">
        <v>2023</v>
      </c>
    </row>
    <row r="116" spans="1:13" hidden="1">
      <c r="A116" s="24" t="s">
        <v>12</v>
      </c>
      <c r="B116" s="24">
        <v>202020202020</v>
      </c>
      <c r="C116" s="24" t="s">
        <v>88</v>
      </c>
      <c r="D116" s="79">
        <v>45028</v>
      </c>
      <c r="E116" s="77">
        <v>45242</v>
      </c>
      <c r="F116" s="81">
        <v>3500</v>
      </c>
      <c r="G116" s="84">
        <v>7</v>
      </c>
      <c r="H116" s="76">
        <v>7</v>
      </c>
      <c r="I116" s="81">
        <v>500</v>
      </c>
      <c r="J116" s="24">
        <v>4</v>
      </c>
      <c r="K116" s="24">
        <v>2023</v>
      </c>
      <c r="L116" s="24">
        <v>11</v>
      </c>
      <c r="M116" s="24">
        <v>2023</v>
      </c>
    </row>
    <row r="117" spans="1:13" hidden="1">
      <c r="A117" s="24" t="s">
        <v>48</v>
      </c>
      <c r="B117" s="24">
        <v>13616340129</v>
      </c>
      <c r="C117" s="24" t="s">
        <v>86</v>
      </c>
      <c r="D117" s="79">
        <v>45000</v>
      </c>
      <c r="E117" s="77">
        <v>45031</v>
      </c>
      <c r="F117" s="81">
        <v>1000</v>
      </c>
      <c r="G117" s="84">
        <v>5</v>
      </c>
      <c r="H117" s="76">
        <v>1</v>
      </c>
      <c r="I117" s="81">
        <v>200</v>
      </c>
      <c r="J117" s="24">
        <v>3</v>
      </c>
      <c r="K117" s="24">
        <v>2023</v>
      </c>
      <c r="L117" s="24">
        <v>4</v>
      </c>
      <c r="M117" s="24">
        <v>2023</v>
      </c>
    </row>
    <row r="118" spans="1:13" hidden="1">
      <c r="A118" s="24" t="s">
        <v>48</v>
      </c>
      <c r="B118" s="24">
        <v>13616340129</v>
      </c>
      <c r="C118" s="24" t="s">
        <v>86</v>
      </c>
      <c r="D118" s="79">
        <v>45000</v>
      </c>
      <c r="E118" s="77">
        <v>45061</v>
      </c>
      <c r="F118" s="81">
        <v>1000</v>
      </c>
      <c r="G118" s="84">
        <v>5</v>
      </c>
      <c r="H118" s="76">
        <v>2</v>
      </c>
      <c r="I118" s="81">
        <v>200</v>
      </c>
      <c r="J118" s="24">
        <v>3</v>
      </c>
      <c r="K118" s="24">
        <v>2023</v>
      </c>
      <c r="L118" s="24">
        <v>5</v>
      </c>
      <c r="M118" s="24">
        <v>2023</v>
      </c>
    </row>
    <row r="119" spans="1:13" hidden="1">
      <c r="A119" s="24" t="s">
        <v>48</v>
      </c>
      <c r="B119" s="24">
        <v>13616340129</v>
      </c>
      <c r="C119" s="24" t="s">
        <v>86</v>
      </c>
      <c r="D119" s="79">
        <v>45000</v>
      </c>
      <c r="E119" s="77">
        <v>45092</v>
      </c>
      <c r="F119" s="81">
        <v>1000</v>
      </c>
      <c r="G119" s="84">
        <v>5</v>
      </c>
      <c r="H119" s="76">
        <v>3</v>
      </c>
      <c r="I119" s="81">
        <v>200</v>
      </c>
      <c r="J119" s="24">
        <v>3</v>
      </c>
      <c r="K119" s="24">
        <v>2023</v>
      </c>
      <c r="L119" s="24">
        <v>6</v>
      </c>
      <c r="M119" s="24">
        <v>2023</v>
      </c>
    </row>
    <row r="120" spans="1:13" hidden="1">
      <c r="A120" s="24" t="s">
        <v>48</v>
      </c>
      <c r="B120" s="24">
        <v>13616340129</v>
      </c>
      <c r="C120" s="24" t="s">
        <v>86</v>
      </c>
      <c r="D120" s="79">
        <v>45000</v>
      </c>
      <c r="E120" s="77">
        <v>45122</v>
      </c>
      <c r="F120" s="81">
        <v>1000</v>
      </c>
      <c r="G120" s="84">
        <v>5</v>
      </c>
      <c r="H120" s="76">
        <v>4</v>
      </c>
      <c r="I120" s="81">
        <v>200</v>
      </c>
      <c r="J120" s="24">
        <v>3</v>
      </c>
      <c r="K120" s="24">
        <v>2023</v>
      </c>
      <c r="L120" s="24">
        <v>7</v>
      </c>
      <c r="M120" s="24">
        <v>2023</v>
      </c>
    </row>
    <row r="121" spans="1:13" hidden="1">
      <c r="A121" s="24" t="s">
        <v>48</v>
      </c>
      <c r="B121" s="24">
        <v>13616340129</v>
      </c>
      <c r="C121" s="24" t="s">
        <v>86</v>
      </c>
      <c r="D121" s="79">
        <v>45000</v>
      </c>
      <c r="E121" s="77">
        <v>45153</v>
      </c>
      <c r="F121" s="81">
        <v>1000</v>
      </c>
      <c r="G121" s="84">
        <v>5</v>
      </c>
      <c r="H121" s="76">
        <v>5</v>
      </c>
      <c r="I121" s="81">
        <v>200</v>
      </c>
      <c r="J121" s="24">
        <v>3</v>
      </c>
      <c r="K121" s="24">
        <v>2023</v>
      </c>
      <c r="L121" s="24">
        <v>8</v>
      </c>
      <c r="M121" s="24">
        <v>2023</v>
      </c>
    </row>
    <row r="122" spans="1:13" hidden="1">
      <c r="A122" s="24" t="s">
        <v>48</v>
      </c>
      <c r="B122" s="24">
        <v>13616340129</v>
      </c>
      <c r="C122" s="24" t="s">
        <v>86</v>
      </c>
      <c r="D122" s="79">
        <v>45000</v>
      </c>
      <c r="E122" s="77">
        <v>45031</v>
      </c>
      <c r="F122" s="81">
        <v>1000</v>
      </c>
      <c r="G122" s="84">
        <v>5</v>
      </c>
      <c r="H122" s="76">
        <v>1</v>
      </c>
      <c r="I122" s="81">
        <v>200</v>
      </c>
      <c r="J122" s="24">
        <v>3</v>
      </c>
      <c r="K122" s="24">
        <v>2023</v>
      </c>
      <c r="L122" s="24">
        <v>4</v>
      </c>
      <c r="M122" s="24">
        <v>2023</v>
      </c>
    </row>
    <row r="123" spans="1:13" hidden="1">
      <c r="A123" s="24" t="s">
        <v>48</v>
      </c>
      <c r="B123" s="24">
        <v>13616340129</v>
      </c>
      <c r="C123" s="24" t="s">
        <v>86</v>
      </c>
      <c r="D123" s="79">
        <v>45000</v>
      </c>
      <c r="E123" s="77">
        <v>45061</v>
      </c>
      <c r="F123" s="81">
        <v>1000</v>
      </c>
      <c r="G123" s="84">
        <v>5</v>
      </c>
      <c r="H123" s="76">
        <v>2</v>
      </c>
      <c r="I123" s="81">
        <v>200</v>
      </c>
      <c r="J123" s="24">
        <v>3</v>
      </c>
      <c r="K123" s="24">
        <v>2023</v>
      </c>
      <c r="L123" s="24">
        <v>5</v>
      </c>
      <c r="M123" s="24">
        <v>2023</v>
      </c>
    </row>
    <row r="124" spans="1:13" hidden="1">
      <c r="A124" s="24" t="s">
        <v>48</v>
      </c>
      <c r="B124" s="24">
        <v>13616340129</v>
      </c>
      <c r="C124" s="24" t="s">
        <v>86</v>
      </c>
      <c r="D124" s="79">
        <v>45000</v>
      </c>
      <c r="E124" s="77">
        <v>45092</v>
      </c>
      <c r="F124" s="81">
        <v>1000</v>
      </c>
      <c r="G124" s="84">
        <v>5</v>
      </c>
      <c r="H124" s="76">
        <v>3</v>
      </c>
      <c r="I124" s="81">
        <v>200</v>
      </c>
      <c r="J124" s="24">
        <v>3</v>
      </c>
      <c r="K124" s="24">
        <v>2023</v>
      </c>
      <c r="L124" s="24">
        <v>6</v>
      </c>
      <c r="M124" s="24">
        <v>2023</v>
      </c>
    </row>
    <row r="125" spans="1:13" hidden="1">
      <c r="A125" s="24" t="s">
        <v>48</v>
      </c>
      <c r="B125" s="24">
        <v>13616340129</v>
      </c>
      <c r="C125" s="24" t="s">
        <v>86</v>
      </c>
      <c r="D125" s="79">
        <v>45000</v>
      </c>
      <c r="E125" s="77">
        <v>45122</v>
      </c>
      <c r="F125" s="81">
        <v>1000</v>
      </c>
      <c r="G125" s="84">
        <v>5</v>
      </c>
      <c r="H125" s="76">
        <v>4</v>
      </c>
      <c r="I125" s="81">
        <v>200</v>
      </c>
      <c r="J125" s="24">
        <v>3</v>
      </c>
      <c r="K125" s="24">
        <v>2023</v>
      </c>
      <c r="L125" s="24">
        <v>7</v>
      </c>
      <c r="M125" s="24">
        <v>2023</v>
      </c>
    </row>
    <row r="126" spans="1:13" hidden="1">
      <c r="A126" s="24" t="s">
        <v>48</v>
      </c>
      <c r="B126" s="24">
        <v>13616340129</v>
      </c>
      <c r="C126" s="24" t="s">
        <v>86</v>
      </c>
      <c r="D126" s="79">
        <v>45000</v>
      </c>
      <c r="E126" s="77">
        <v>45153</v>
      </c>
      <c r="F126" s="81">
        <v>1000</v>
      </c>
      <c r="G126" s="84">
        <v>5</v>
      </c>
      <c r="H126" s="76">
        <v>5</v>
      </c>
      <c r="I126" s="81">
        <v>200</v>
      </c>
      <c r="J126" s="24">
        <v>3</v>
      </c>
      <c r="K126" s="24">
        <v>2023</v>
      </c>
      <c r="L126" s="24">
        <v>8</v>
      </c>
      <c r="M126" s="24">
        <v>2023</v>
      </c>
    </row>
    <row r="127" spans="1:13" hidden="1">
      <c r="A127" s="24" t="s">
        <v>48</v>
      </c>
      <c r="B127" s="24">
        <v>13616340129</v>
      </c>
      <c r="C127" s="24" t="s">
        <v>86</v>
      </c>
      <c r="D127" s="79">
        <v>45000</v>
      </c>
      <c r="E127" s="77">
        <v>45031</v>
      </c>
      <c r="F127" s="81">
        <v>1000</v>
      </c>
      <c r="G127" s="84">
        <v>5</v>
      </c>
      <c r="H127" s="76">
        <v>1</v>
      </c>
      <c r="I127" s="81">
        <v>200</v>
      </c>
      <c r="J127" s="24">
        <v>3</v>
      </c>
      <c r="K127" s="24">
        <v>2023</v>
      </c>
      <c r="L127" s="24">
        <v>4</v>
      </c>
      <c r="M127" s="24">
        <v>2023</v>
      </c>
    </row>
    <row r="128" spans="1:13" hidden="1">
      <c r="A128" s="24" t="s">
        <v>48</v>
      </c>
      <c r="B128" s="24">
        <v>13616340129</v>
      </c>
      <c r="C128" s="24" t="s">
        <v>86</v>
      </c>
      <c r="D128" s="79">
        <v>45000</v>
      </c>
      <c r="E128" s="77">
        <v>45061</v>
      </c>
      <c r="F128" s="81">
        <v>1000</v>
      </c>
      <c r="G128" s="84">
        <v>5</v>
      </c>
      <c r="H128" s="76">
        <v>2</v>
      </c>
      <c r="I128" s="81">
        <v>200</v>
      </c>
      <c r="J128" s="24">
        <v>3</v>
      </c>
      <c r="K128" s="24">
        <v>2023</v>
      </c>
      <c r="L128" s="24">
        <v>5</v>
      </c>
      <c r="M128" s="24">
        <v>2023</v>
      </c>
    </row>
    <row r="129" spans="1:13" hidden="1">
      <c r="A129" s="24" t="s">
        <v>48</v>
      </c>
      <c r="B129" s="24">
        <v>13616340129</v>
      </c>
      <c r="C129" s="24" t="s">
        <v>86</v>
      </c>
      <c r="D129" s="79">
        <v>45000</v>
      </c>
      <c r="E129" s="77">
        <v>45092</v>
      </c>
      <c r="F129" s="81">
        <v>1000</v>
      </c>
      <c r="G129" s="84">
        <v>5</v>
      </c>
      <c r="H129" s="76">
        <v>3</v>
      </c>
      <c r="I129" s="81">
        <v>200</v>
      </c>
      <c r="J129" s="24">
        <v>3</v>
      </c>
      <c r="K129" s="24">
        <v>2023</v>
      </c>
      <c r="L129" s="24">
        <v>6</v>
      </c>
      <c r="M129" s="24">
        <v>2023</v>
      </c>
    </row>
    <row r="130" spans="1:13" hidden="1">
      <c r="A130" s="24" t="s">
        <v>48</v>
      </c>
      <c r="B130" s="24">
        <v>13616340129</v>
      </c>
      <c r="C130" s="24" t="s">
        <v>86</v>
      </c>
      <c r="D130" s="79">
        <v>45000</v>
      </c>
      <c r="E130" s="77">
        <v>45122</v>
      </c>
      <c r="F130" s="81">
        <v>1000</v>
      </c>
      <c r="G130" s="84">
        <v>5</v>
      </c>
      <c r="H130" s="76">
        <v>4</v>
      </c>
      <c r="I130" s="81">
        <v>200</v>
      </c>
      <c r="J130" s="24">
        <v>3</v>
      </c>
      <c r="K130" s="24">
        <v>2023</v>
      </c>
      <c r="L130" s="24">
        <v>7</v>
      </c>
      <c r="M130" s="24">
        <v>2023</v>
      </c>
    </row>
    <row r="131" spans="1:13" hidden="1">
      <c r="A131" s="24" t="s">
        <v>48</v>
      </c>
      <c r="B131" s="24">
        <v>13616340129</v>
      </c>
      <c r="C131" s="24" t="s">
        <v>86</v>
      </c>
      <c r="D131" s="79">
        <v>45000</v>
      </c>
      <c r="E131" s="77">
        <v>45153</v>
      </c>
      <c r="F131" s="81">
        <v>1000</v>
      </c>
      <c r="G131" s="84">
        <v>5</v>
      </c>
      <c r="H131" s="76">
        <v>5</v>
      </c>
      <c r="I131" s="81">
        <v>200</v>
      </c>
      <c r="J131" s="24">
        <v>3</v>
      </c>
      <c r="K131" s="24">
        <v>2023</v>
      </c>
      <c r="L131" s="24">
        <v>8</v>
      </c>
      <c r="M131" s="24">
        <v>2023</v>
      </c>
    </row>
    <row r="132" spans="1:13" hidden="1">
      <c r="A132" s="24" t="s">
        <v>48</v>
      </c>
      <c r="B132" s="24">
        <v>13616340129</v>
      </c>
      <c r="C132" s="24" t="s">
        <v>86</v>
      </c>
      <c r="D132" s="79">
        <v>45000</v>
      </c>
      <c r="E132" s="77">
        <v>45031</v>
      </c>
      <c r="F132" s="81">
        <v>1000</v>
      </c>
      <c r="G132" s="84">
        <v>5</v>
      </c>
      <c r="H132" s="76">
        <v>1</v>
      </c>
      <c r="I132" s="81">
        <v>200</v>
      </c>
      <c r="J132" s="24">
        <v>3</v>
      </c>
      <c r="K132" s="24">
        <v>2023</v>
      </c>
      <c r="L132" s="24">
        <v>4</v>
      </c>
      <c r="M132" s="24">
        <v>2023</v>
      </c>
    </row>
    <row r="133" spans="1:13" hidden="1">
      <c r="A133" s="24" t="s">
        <v>48</v>
      </c>
      <c r="B133" s="24">
        <v>13616340129</v>
      </c>
      <c r="C133" s="24" t="s">
        <v>86</v>
      </c>
      <c r="D133" s="79">
        <v>45000</v>
      </c>
      <c r="E133" s="77">
        <v>45061</v>
      </c>
      <c r="F133" s="81">
        <v>1000</v>
      </c>
      <c r="G133" s="84">
        <v>5</v>
      </c>
      <c r="H133" s="76">
        <v>2</v>
      </c>
      <c r="I133" s="81">
        <v>200</v>
      </c>
      <c r="J133" s="24">
        <v>3</v>
      </c>
      <c r="K133" s="24">
        <v>2023</v>
      </c>
      <c r="L133" s="24">
        <v>5</v>
      </c>
      <c r="M133" s="24">
        <v>2023</v>
      </c>
    </row>
    <row r="134" spans="1:13" hidden="1">
      <c r="A134" s="24" t="s">
        <v>48</v>
      </c>
      <c r="B134" s="24">
        <v>13616340129</v>
      </c>
      <c r="C134" s="24" t="s">
        <v>86</v>
      </c>
      <c r="D134" s="79">
        <v>45000</v>
      </c>
      <c r="E134" s="77">
        <v>45092</v>
      </c>
      <c r="F134" s="81">
        <v>1000</v>
      </c>
      <c r="G134" s="84">
        <v>5</v>
      </c>
      <c r="H134" s="76">
        <v>3</v>
      </c>
      <c r="I134" s="81">
        <v>200</v>
      </c>
      <c r="J134" s="24">
        <v>3</v>
      </c>
      <c r="K134" s="24">
        <v>2023</v>
      </c>
      <c r="L134" s="24">
        <v>6</v>
      </c>
      <c r="M134" s="24">
        <v>2023</v>
      </c>
    </row>
    <row r="135" spans="1:13" hidden="1">
      <c r="A135" s="24" t="s">
        <v>48</v>
      </c>
      <c r="B135" s="24">
        <v>13616340129</v>
      </c>
      <c r="C135" s="24" t="s">
        <v>86</v>
      </c>
      <c r="D135" s="79">
        <v>45000</v>
      </c>
      <c r="E135" s="77">
        <v>45122</v>
      </c>
      <c r="F135" s="81">
        <v>1000</v>
      </c>
      <c r="G135" s="84">
        <v>5</v>
      </c>
      <c r="H135" s="76">
        <v>4</v>
      </c>
      <c r="I135" s="81">
        <v>200</v>
      </c>
      <c r="J135" s="24">
        <v>3</v>
      </c>
      <c r="K135" s="24">
        <v>2023</v>
      </c>
      <c r="L135" s="24">
        <v>7</v>
      </c>
      <c r="M135" s="24">
        <v>2023</v>
      </c>
    </row>
    <row r="136" spans="1:13" hidden="1">
      <c r="A136" s="24" t="s">
        <v>48</v>
      </c>
      <c r="B136" s="24">
        <v>13616340129</v>
      </c>
      <c r="C136" s="24" t="s">
        <v>86</v>
      </c>
      <c r="D136" s="79">
        <v>45000</v>
      </c>
      <c r="E136" s="77">
        <v>45153</v>
      </c>
      <c r="F136" s="81">
        <v>1000</v>
      </c>
      <c r="G136" s="84">
        <v>5</v>
      </c>
      <c r="H136" s="76">
        <v>5</v>
      </c>
      <c r="I136" s="81">
        <v>200</v>
      </c>
      <c r="J136" s="24">
        <v>3</v>
      </c>
      <c r="K136" s="24">
        <v>2023</v>
      </c>
      <c r="L136" s="24">
        <v>8</v>
      </c>
      <c r="M136" s="24">
        <v>2023</v>
      </c>
    </row>
    <row r="137" spans="1:13" hidden="1">
      <c r="A137" s="24" t="s">
        <v>48</v>
      </c>
      <c r="B137" s="24">
        <v>13616340129</v>
      </c>
      <c r="C137" s="24" t="s">
        <v>86</v>
      </c>
      <c r="D137" s="79">
        <v>45000</v>
      </c>
      <c r="E137" s="77">
        <v>45214</v>
      </c>
      <c r="F137" s="81">
        <v>1000</v>
      </c>
      <c r="G137" s="84">
        <v>10</v>
      </c>
      <c r="H137" s="76">
        <v>7</v>
      </c>
      <c r="I137" s="81">
        <v>100</v>
      </c>
      <c r="J137" s="24">
        <v>3</v>
      </c>
      <c r="K137" s="24">
        <v>2023</v>
      </c>
      <c r="L137" s="24">
        <v>10</v>
      </c>
      <c r="M137" s="24">
        <v>2023</v>
      </c>
    </row>
    <row r="138" spans="1:13" hidden="1">
      <c r="A138" s="24" t="s">
        <v>48</v>
      </c>
      <c r="B138" s="24">
        <v>13616340129</v>
      </c>
      <c r="C138" s="24" t="s">
        <v>86</v>
      </c>
      <c r="D138" s="79">
        <v>45000</v>
      </c>
      <c r="E138" s="77">
        <v>45245</v>
      </c>
      <c r="F138" s="81">
        <v>1000</v>
      </c>
      <c r="G138" s="84">
        <v>10</v>
      </c>
      <c r="H138" s="76">
        <v>8</v>
      </c>
      <c r="I138" s="81">
        <v>100</v>
      </c>
      <c r="J138" s="24">
        <v>3</v>
      </c>
      <c r="K138" s="24">
        <v>2023</v>
      </c>
      <c r="L138" s="24">
        <v>11</v>
      </c>
      <c r="M138" s="24">
        <v>2023</v>
      </c>
    </row>
    <row r="139" spans="1:13" hidden="1">
      <c r="A139" s="24" t="s">
        <v>48</v>
      </c>
      <c r="B139" s="24">
        <v>13616340129</v>
      </c>
      <c r="C139" s="24" t="s">
        <v>86</v>
      </c>
      <c r="D139" s="79">
        <v>45000</v>
      </c>
      <c r="E139" s="77">
        <v>45275</v>
      </c>
      <c r="F139" s="81">
        <v>1000</v>
      </c>
      <c r="G139" s="84">
        <v>10</v>
      </c>
      <c r="H139" s="76">
        <v>9</v>
      </c>
      <c r="I139" s="81">
        <v>100</v>
      </c>
      <c r="J139" s="24">
        <v>3</v>
      </c>
      <c r="K139" s="24">
        <v>2023</v>
      </c>
      <c r="L139" s="24">
        <v>12</v>
      </c>
      <c r="M139" s="24">
        <v>2023</v>
      </c>
    </row>
    <row r="140" spans="1:13" hidden="1">
      <c r="A140" s="24" t="s">
        <v>48</v>
      </c>
      <c r="B140" s="24">
        <v>13616340129</v>
      </c>
      <c r="C140" s="24" t="s">
        <v>86</v>
      </c>
      <c r="D140" s="79">
        <v>45000</v>
      </c>
      <c r="E140" s="77">
        <v>45306</v>
      </c>
      <c r="F140" s="81">
        <v>1000</v>
      </c>
      <c r="G140" s="84">
        <v>10</v>
      </c>
      <c r="H140" s="76">
        <v>10</v>
      </c>
      <c r="I140" s="81">
        <v>100</v>
      </c>
      <c r="J140" s="24">
        <v>3</v>
      </c>
      <c r="K140" s="24">
        <v>2023</v>
      </c>
      <c r="L140" s="24">
        <v>1</v>
      </c>
      <c r="M140" s="24">
        <v>2024</v>
      </c>
    </row>
    <row r="141" spans="1:13">
      <c r="A141" s="24" t="s">
        <v>32</v>
      </c>
      <c r="B141" s="24">
        <v>13481923178</v>
      </c>
      <c r="C141" s="24" t="s">
        <v>98</v>
      </c>
      <c r="D141" s="79">
        <v>45387</v>
      </c>
      <c r="E141" s="77">
        <v>45417</v>
      </c>
      <c r="F141" s="81">
        <v>2856</v>
      </c>
      <c r="G141" s="84">
        <v>8</v>
      </c>
      <c r="H141" s="76">
        <v>1</v>
      </c>
      <c r="I141" s="81">
        <v>357</v>
      </c>
      <c r="J141" s="24">
        <v>4</v>
      </c>
      <c r="K141" s="24">
        <v>2024</v>
      </c>
      <c r="L141" s="24">
        <v>5</v>
      </c>
      <c r="M141" s="24">
        <v>2024</v>
      </c>
    </row>
    <row r="142" spans="1:13">
      <c r="A142" s="24" t="s">
        <v>32</v>
      </c>
      <c r="B142" s="24">
        <v>13481923178</v>
      </c>
      <c r="C142" s="24" t="s">
        <v>98</v>
      </c>
      <c r="D142" s="79">
        <v>45387</v>
      </c>
      <c r="E142" s="77">
        <v>45448</v>
      </c>
      <c r="F142" s="81">
        <v>2856</v>
      </c>
      <c r="G142" s="84">
        <v>8</v>
      </c>
      <c r="H142" s="76">
        <v>2</v>
      </c>
      <c r="I142" s="81">
        <v>357</v>
      </c>
      <c r="J142" s="24">
        <v>4</v>
      </c>
      <c r="K142" s="24">
        <v>2024</v>
      </c>
      <c r="L142" s="24">
        <v>6</v>
      </c>
      <c r="M142" s="24">
        <v>2024</v>
      </c>
    </row>
    <row r="143" spans="1:13">
      <c r="A143" s="24" t="s">
        <v>32</v>
      </c>
      <c r="B143" s="24">
        <v>13481923178</v>
      </c>
      <c r="C143" s="24" t="s">
        <v>98</v>
      </c>
      <c r="D143" s="79">
        <v>45387</v>
      </c>
      <c r="E143" s="77">
        <v>45478</v>
      </c>
      <c r="F143" s="81">
        <v>2856</v>
      </c>
      <c r="G143" s="84">
        <v>8</v>
      </c>
      <c r="H143" s="76">
        <v>3</v>
      </c>
      <c r="I143" s="81">
        <v>357</v>
      </c>
      <c r="J143" s="24">
        <v>4</v>
      </c>
      <c r="K143" s="24">
        <v>2024</v>
      </c>
      <c r="L143" s="24">
        <v>7</v>
      </c>
      <c r="M143" s="24">
        <v>2024</v>
      </c>
    </row>
    <row r="144" spans="1:13">
      <c r="A144" s="24" t="s">
        <v>32</v>
      </c>
      <c r="B144" s="24">
        <v>13481923178</v>
      </c>
      <c r="C144" s="24" t="s">
        <v>98</v>
      </c>
      <c r="D144" s="79">
        <v>45387</v>
      </c>
      <c r="E144" s="77">
        <v>45509</v>
      </c>
      <c r="F144" s="81">
        <v>2856</v>
      </c>
      <c r="G144" s="84">
        <v>8</v>
      </c>
      <c r="H144" s="76">
        <v>4</v>
      </c>
      <c r="I144" s="81">
        <v>357</v>
      </c>
      <c r="J144" s="24">
        <v>4</v>
      </c>
      <c r="K144" s="24">
        <v>2024</v>
      </c>
      <c r="L144" s="24">
        <v>8</v>
      </c>
      <c r="M144" s="24">
        <v>2024</v>
      </c>
    </row>
    <row r="145" spans="1:13">
      <c r="A145" s="24" t="s">
        <v>32</v>
      </c>
      <c r="B145" s="24">
        <v>13481923178</v>
      </c>
      <c r="C145" s="24" t="s">
        <v>98</v>
      </c>
      <c r="D145" s="79">
        <v>45387</v>
      </c>
      <c r="E145" s="77">
        <v>45540</v>
      </c>
      <c r="F145" s="81">
        <v>2856</v>
      </c>
      <c r="G145" s="84">
        <v>8</v>
      </c>
      <c r="H145" s="76">
        <v>5</v>
      </c>
      <c r="I145" s="81">
        <v>357</v>
      </c>
      <c r="J145" s="24">
        <v>4</v>
      </c>
      <c r="K145" s="24">
        <v>2024</v>
      </c>
      <c r="L145" s="24">
        <v>9</v>
      </c>
      <c r="M145" s="24">
        <v>2024</v>
      </c>
    </row>
    <row r="146" spans="1:13">
      <c r="A146" s="24" t="s">
        <v>32</v>
      </c>
      <c r="B146" s="24">
        <v>13481923178</v>
      </c>
      <c r="C146" s="24" t="s">
        <v>98</v>
      </c>
      <c r="D146" s="79">
        <v>45387</v>
      </c>
      <c r="E146" s="77">
        <v>45570</v>
      </c>
      <c r="F146" s="81">
        <v>2856</v>
      </c>
      <c r="G146" s="84">
        <v>8</v>
      </c>
      <c r="H146" s="76">
        <v>6</v>
      </c>
      <c r="I146" s="81">
        <v>357</v>
      </c>
      <c r="J146" s="24">
        <v>4</v>
      </c>
      <c r="K146" s="24">
        <v>2024</v>
      </c>
      <c r="L146" s="24">
        <v>10</v>
      </c>
      <c r="M146" s="24">
        <v>2024</v>
      </c>
    </row>
    <row r="147" spans="1:13">
      <c r="A147" s="24" t="s">
        <v>32</v>
      </c>
      <c r="B147" s="24">
        <v>13481923178</v>
      </c>
      <c r="C147" s="24" t="s">
        <v>98</v>
      </c>
      <c r="D147" s="79">
        <v>45387</v>
      </c>
      <c r="E147" s="77">
        <v>45601</v>
      </c>
      <c r="F147" s="81">
        <v>2856</v>
      </c>
      <c r="G147" s="84">
        <v>8</v>
      </c>
      <c r="H147" s="76">
        <v>7</v>
      </c>
      <c r="I147" s="81">
        <v>357</v>
      </c>
      <c r="J147" s="24">
        <v>4</v>
      </c>
      <c r="K147" s="24">
        <v>2024</v>
      </c>
      <c r="L147" s="24">
        <v>11</v>
      </c>
      <c r="M147" s="24">
        <v>2024</v>
      </c>
    </row>
    <row r="148" spans="1:13">
      <c r="A148" s="24" t="s">
        <v>32</v>
      </c>
      <c r="B148" s="24">
        <v>13481923178</v>
      </c>
      <c r="C148" s="24" t="s">
        <v>98</v>
      </c>
      <c r="D148" s="79">
        <v>45387</v>
      </c>
      <c r="E148" s="77">
        <v>45631</v>
      </c>
      <c r="F148" s="81">
        <v>2856</v>
      </c>
      <c r="G148" s="84">
        <v>8</v>
      </c>
      <c r="H148" s="76">
        <v>8</v>
      </c>
      <c r="I148" s="81">
        <v>357</v>
      </c>
      <c r="J148" s="24">
        <v>4</v>
      </c>
      <c r="K148" s="24">
        <v>2024</v>
      </c>
      <c r="L148" s="24">
        <v>12</v>
      </c>
      <c r="M148" s="24">
        <v>2024</v>
      </c>
    </row>
    <row r="149" spans="1:13">
      <c r="A149" s="24" t="s">
        <v>32</v>
      </c>
      <c r="B149" s="24">
        <v>13481923178</v>
      </c>
      <c r="C149" s="24" t="s">
        <v>98</v>
      </c>
      <c r="D149" s="79">
        <v>44990</v>
      </c>
      <c r="E149" s="77">
        <v>45021</v>
      </c>
      <c r="F149" s="81">
        <v>2856</v>
      </c>
      <c r="G149" s="84">
        <v>8</v>
      </c>
      <c r="H149" s="76">
        <v>1</v>
      </c>
      <c r="I149" s="81">
        <v>357</v>
      </c>
      <c r="J149" s="24">
        <v>3</v>
      </c>
      <c r="K149" s="24">
        <v>2023</v>
      </c>
      <c r="L149" s="24">
        <v>4</v>
      </c>
      <c r="M149" s="24">
        <v>2023</v>
      </c>
    </row>
    <row r="150" spans="1:13">
      <c r="A150" s="24" t="s">
        <v>32</v>
      </c>
      <c r="B150" s="24">
        <v>13481923178</v>
      </c>
      <c r="C150" s="24" t="s">
        <v>98</v>
      </c>
      <c r="D150" s="79">
        <v>44990</v>
      </c>
      <c r="E150" s="77">
        <v>45051</v>
      </c>
      <c r="F150" s="81">
        <v>2856</v>
      </c>
      <c r="G150" s="84">
        <v>8</v>
      </c>
      <c r="H150" s="76">
        <v>2</v>
      </c>
      <c r="I150" s="81">
        <v>357</v>
      </c>
      <c r="J150" s="24">
        <v>3</v>
      </c>
      <c r="K150" s="24">
        <v>2023</v>
      </c>
      <c r="L150" s="24">
        <v>5</v>
      </c>
      <c r="M150" s="24">
        <v>2023</v>
      </c>
    </row>
    <row r="151" spans="1:13">
      <c r="A151" s="24" t="s">
        <v>32</v>
      </c>
      <c r="B151" s="24">
        <v>13481923178</v>
      </c>
      <c r="C151" s="24" t="s">
        <v>98</v>
      </c>
      <c r="D151" s="79">
        <v>44990</v>
      </c>
      <c r="E151" s="77">
        <v>45082</v>
      </c>
      <c r="F151" s="81">
        <v>2856</v>
      </c>
      <c r="G151" s="84">
        <v>8</v>
      </c>
      <c r="H151" s="76">
        <v>3</v>
      </c>
      <c r="I151" s="81">
        <v>357</v>
      </c>
      <c r="J151" s="24">
        <v>3</v>
      </c>
      <c r="K151" s="24">
        <v>2023</v>
      </c>
      <c r="L151" s="24">
        <v>6</v>
      </c>
      <c r="M151" s="24">
        <v>2023</v>
      </c>
    </row>
    <row r="152" spans="1:13">
      <c r="A152" s="24" t="s">
        <v>32</v>
      </c>
      <c r="B152" s="24">
        <v>13481923178</v>
      </c>
      <c r="C152" s="24" t="s">
        <v>98</v>
      </c>
      <c r="D152" s="79">
        <v>44990</v>
      </c>
      <c r="E152" s="77">
        <v>45112</v>
      </c>
      <c r="F152" s="81">
        <v>2856</v>
      </c>
      <c r="G152" s="84">
        <v>8</v>
      </c>
      <c r="H152" s="76">
        <v>4</v>
      </c>
      <c r="I152" s="81">
        <v>357</v>
      </c>
      <c r="J152" s="24">
        <v>3</v>
      </c>
      <c r="K152" s="24">
        <v>2023</v>
      </c>
      <c r="L152" s="24">
        <v>7</v>
      </c>
      <c r="M152" s="24">
        <v>2023</v>
      </c>
    </row>
    <row r="153" spans="1:13">
      <c r="A153" s="24" t="s">
        <v>32</v>
      </c>
      <c r="B153" s="24">
        <v>13481923178</v>
      </c>
      <c r="C153" s="24" t="s">
        <v>98</v>
      </c>
      <c r="D153" s="79">
        <v>44990</v>
      </c>
      <c r="E153" s="77">
        <v>45143</v>
      </c>
      <c r="F153" s="81">
        <v>2856</v>
      </c>
      <c r="G153" s="84">
        <v>8</v>
      </c>
      <c r="H153" s="76">
        <v>5</v>
      </c>
      <c r="I153" s="81">
        <v>357</v>
      </c>
      <c r="J153" s="24">
        <v>3</v>
      </c>
      <c r="K153" s="24">
        <v>2023</v>
      </c>
      <c r="L153" s="24">
        <v>8</v>
      </c>
      <c r="M153" s="24">
        <v>2023</v>
      </c>
    </row>
    <row r="154" spans="1:13">
      <c r="A154" s="24" t="s">
        <v>32</v>
      </c>
      <c r="B154" s="24">
        <v>13481923178</v>
      </c>
      <c r="C154" s="24" t="s">
        <v>98</v>
      </c>
      <c r="D154" s="79">
        <v>44990</v>
      </c>
      <c r="E154" s="77">
        <v>45174</v>
      </c>
      <c r="F154" s="81">
        <v>2856</v>
      </c>
      <c r="G154" s="84">
        <v>8</v>
      </c>
      <c r="H154" s="76">
        <v>6</v>
      </c>
      <c r="I154" s="81">
        <v>357</v>
      </c>
      <c r="J154" s="24">
        <v>3</v>
      </c>
      <c r="K154" s="24">
        <v>2023</v>
      </c>
      <c r="L154" s="24">
        <v>9</v>
      </c>
      <c r="M154" s="24">
        <v>2023</v>
      </c>
    </row>
    <row r="155" spans="1:13">
      <c r="A155" s="24" t="s">
        <v>32</v>
      </c>
      <c r="B155" s="24">
        <v>13481923178</v>
      </c>
      <c r="C155" s="24" t="s">
        <v>98</v>
      </c>
      <c r="D155" s="79">
        <v>44990</v>
      </c>
      <c r="E155" s="77">
        <v>45204</v>
      </c>
      <c r="F155" s="81">
        <v>2856</v>
      </c>
      <c r="G155" s="84">
        <v>8</v>
      </c>
      <c r="H155" s="76">
        <v>7</v>
      </c>
      <c r="I155" s="81">
        <v>357</v>
      </c>
      <c r="J155" s="24">
        <v>3</v>
      </c>
      <c r="K155" s="24">
        <v>2023</v>
      </c>
      <c r="L155" s="24">
        <v>10</v>
      </c>
      <c r="M155" s="24">
        <v>2023</v>
      </c>
    </row>
    <row r="156" spans="1:13">
      <c r="A156" s="24" t="s">
        <v>32</v>
      </c>
      <c r="B156" s="24">
        <v>13481923178</v>
      </c>
      <c r="C156" s="24" t="s">
        <v>98</v>
      </c>
      <c r="D156" s="79">
        <v>44990</v>
      </c>
      <c r="E156" s="77">
        <v>45235</v>
      </c>
      <c r="F156" s="81">
        <v>2856</v>
      </c>
      <c r="G156" s="84">
        <v>8</v>
      </c>
      <c r="H156" s="76">
        <v>8</v>
      </c>
      <c r="I156" s="81">
        <v>357</v>
      </c>
      <c r="J156" s="24">
        <v>3</v>
      </c>
      <c r="K156" s="24">
        <v>2023</v>
      </c>
      <c r="L156" s="24">
        <v>11</v>
      </c>
      <c r="M156" s="24">
        <v>2023</v>
      </c>
    </row>
    <row r="157" spans="1:13">
      <c r="A157" s="144" t="s">
        <v>87</v>
      </c>
      <c r="B157" s="144" t="s">
        <v>87</v>
      </c>
      <c r="C157" s="144" t="s">
        <v>87</v>
      </c>
      <c r="D157" s="145" t="s">
        <v>87</v>
      </c>
      <c r="E157" s="146" t="s">
        <v>87</v>
      </c>
      <c r="F157" s="81" t="s">
        <v>87</v>
      </c>
      <c r="G157" s="147" t="s">
        <v>87</v>
      </c>
      <c r="H157" s="148" t="s">
        <v>87</v>
      </c>
      <c r="I157" s="81" t="s">
        <v>87</v>
      </c>
      <c r="J157" s="144" t="s">
        <v>87</v>
      </c>
      <c r="K157" s="144" t="s">
        <v>87</v>
      </c>
      <c r="L157" s="144" t="s">
        <v>87</v>
      </c>
      <c r="M157" s="144" t="s">
        <v>87</v>
      </c>
    </row>
    <row r="158" spans="1:13">
      <c r="A158" s="144" t="s">
        <v>87</v>
      </c>
      <c r="B158" s="144" t="s">
        <v>87</v>
      </c>
      <c r="C158" s="144" t="s">
        <v>87</v>
      </c>
      <c r="D158" s="145" t="s">
        <v>87</v>
      </c>
      <c r="E158" s="146" t="s">
        <v>87</v>
      </c>
      <c r="F158" s="81" t="s">
        <v>87</v>
      </c>
      <c r="G158" s="147" t="s">
        <v>87</v>
      </c>
      <c r="H158" s="148" t="s">
        <v>87</v>
      </c>
      <c r="I158" s="81" t="s">
        <v>87</v>
      </c>
      <c r="J158" s="144" t="s">
        <v>87</v>
      </c>
      <c r="K158" s="144" t="s">
        <v>87</v>
      </c>
      <c r="L158" s="144" t="s">
        <v>87</v>
      </c>
      <c r="M158" s="144" t="s">
        <v>87</v>
      </c>
    </row>
    <row r="159" spans="1:13">
      <c r="A159" s="144" t="s">
        <v>87</v>
      </c>
      <c r="B159" s="144" t="s">
        <v>87</v>
      </c>
      <c r="C159" s="144" t="s">
        <v>87</v>
      </c>
      <c r="D159" s="145" t="s">
        <v>87</v>
      </c>
      <c r="E159" s="146" t="s">
        <v>87</v>
      </c>
      <c r="F159" s="81" t="s">
        <v>87</v>
      </c>
      <c r="G159" s="147" t="s">
        <v>87</v>
      </c>
      <c r="H159" s="148" t="s">
        <v>87</v>
      </c>
      <c r="I159" s="81" t="s">
        <v>87</v>
      </c>
      <c r="J159" s="144" t="s">
        <v>87</v>
      </c>
      <c r="K159" s="144" t="s">
        <v>87</v>
      </c>
      <c r="L159" s="144" t="s">
        <v>87</v>
      </c>
      <c r="M159" s="144" t="s">
        <v>87</v>
      </c>
    </row>
    <row r="160" spans="1:13">
      <c r="A160" s="144" t="s">
        <v>87</v>
      </c>
      <c r="B160" s="144" t="s">
        <v>87</v>
      </c>
      <c r="C160" s="144" t="s">
        <v>87</v>
      </c>
      <c r="D160" s="145" t="s">
        <v>87</v>
      </c>
      <c r="E160" s="146" t="s">
        <v>87</v>
      </c>
      <c r="F160" s="81" t="s">
        <v>87</v>
      </c>
      <c r="G160" s="147" t="s">
        <v>87</v>
      </c>
      <c r="H160" s="148" t="s">
        <v>87</v>
      </c>
      <c r="I160" s="81" t="s">
        <v>87</v>
      </c>
      <c r="J160" s="144" t="s">
        <v>87</v>
      </c>
      <c r="K160" s="144" t="s">
        <v>87</v>
      </c>
      <c r="L160" s="144" t="s">
        <v>87</v>
      </c>
      <c r="M160" s="144" t="s">
        <v>87</v>
      </c>
    </row>
    <row r="161" spans="1:13">
      <c r="A161" s="144" t="s">
        <v>87</v>
      </c>
      <c r="B161" s="144" t="s">
        <v>87</v>
      </c>
      <c r="C161" s="144" t="s">
        <v>87</v>
      </c>
      <c r="D161" s="145" t="s">
        <v>87</v>
      </c>
      <c r="E161" s="146" t="s">
        <v>87</v>
      </c>
      <c r="F161" s="81" t="s">
        <v>87</v>
      </c>
      <c r="G161" s="147" t="s">
        <v>87</v>
      </c>
      <c r="H161" s="148" t="s">
        <v>87</v>
      </c>
      <c r="I161" s="81" t="s">
        <v>87</v>
      </c>
      <c r="J161" s="144" t="s">
        <v>87</v>
      </c>
      <c r="K161" s="144" t="s">
        <v>87</v>
      </c>
      <c r="L161" s="144" t="s">
        <v>87</v>
      </c>
      <c r="M161" s="144" t="s">
        <v>87</v>
      </c>
    </row>
    <row r="162" spans="1:13">
      <c r="A162" s="144" t="s">
        <v>87</v>
      </c>
      <c r="B162" s="144" t="s">
        <v>87</v>
      </c>
      <c r="C162" s="144" t="s">
        <v>87</v>
      </c>
      <c r="D162" s="145" t="s">
        <v>87</v>
      </c>
      <c r="E162" s="146" t="s">
        <v>87</v>
      </c>
      <c r="F162" s="81" t="s">
        <v>87</v>
      </c>
      <c r="G162" s="147" t="s">
        <v>87</v>
      </c>
      <c r="H162" s="148" t="s">
        <v>87</v>
      </c>
      <c r="I162" s="81" t="s">
        <v>87</v>
      </c>
      <c r="J162" s="144" t="s">
        <v>87</v>
      </c>
      <c r="K162" s="144" t="s">
        <v>87</v>
      </c>
      <c r="L162" s="144" t="s">
        <v>87</v>
      </c>
      <c r="M162" s="144" t="s">
        <v>87</v>
      </c>
    </row>
    <row r="163" spans="1:13">
      <c r="A163" s="144" t="s">
        <v>87</v>
      </c>
      <c r="B163" s="144" t="s">
        <v>87</v>
      </c>
      <c r="C163" s="144" t="s">
        <v>87</v>
      </c>
      <c r="D163" s="145" t="s">
        <v>87</v>
      </c>
      <c r="E163" s="146" t="s">
        <v>87</v>
      </c>
      <c r="F163" s="81" t="s">
        <v>87</v>
      </c>
      <c r="G163" s="147" t="s">
        <v>87</v>
      </c>
      <c r="H163" s="148" t="s">
        <v>87</v>
      </c>
      <c r="I163" s="81" t="s">
        <v>87</v>
      </c>
      <c r="J163" s="144" t="s">
        <v>87</v>
      </c>
      <c r="K163" s="144" t="s">
        <v>87</v>
      </c>
      <c r="L163" s="144" t="s">
        <v>87</v>
      </c>
      <c r="M163" s="144" t="s">
        <v>87</v>
      </c>
    </row>
    <row r="164" spans="1:13">
      <c r="A164" s="144" t="s">
        <v>87</v>
      </c>
      <c r="B164" s="144" t="s">
        <v>87</v>
      </c>
      <c r="C164" s="144" t="s">
        <v>87</v>
      </c>
      <c r="D164" s="145" t="s">
        <v>87</v>
      </c>
      <c r="E164" s="146" t="s">
        <v>87</v>
      </c>
      <c r="F164" s="81" t="s">
        <v>87</v>
      </c>
      <c r="G164" s="147" t="s">
        <v>87</v>
      </c>
      <c r="H164" s="148" t="s">
        <v>87</v>
      </c>
      <c r="I164" s="81" t="s">
        <v>87</v>
      </c>
      <c r="J164" s="144" t="s">
        <v>87</v>
      </c>
      <c r="K164" s="144" t="s">
        <v>87</v>
      </c>
      <c r="L164" s="144" t="s">
        <v>87</v>
      </c>
      <c r="M164" s="144" t="s">
        <v>87</v>
      </c>
    </row>
    <row r="165" spans="1:13">
      <c r="A165" s="144" t="s">
        <v>87</v>
      </c>
      <c r="B165" s="144" t="s">
        <v>87</v>
      </c>
      <c r="C165" s="144" t="s">
        <v>87</v>
      </c>
      <c r="D165" s="145" t="s">
        <v>87</v>
      </c>
      <c r="E165" s="146" t="s">
        <v>87</v>
      </c>
      <c r="F165" s="81" t="s">
        <v>87</v>
      </c>
      <c r="G165" s="147" t="s">
        <v>87</v>
      </c>
      <c r="H165" s="148" t="s">
        <v>87</v>
      </c>
      <c r="I165" s="81" t="s">
        <v>87</v>
      </c>
      <c r="J165" s="144" t="s">
        <v>87</v>
      </c>
      <c r="K165" s="144" t="s">
        <v>87</v>
      </c>
      <c r="L165" s="144" t="s">
        <v>87</v>
      </c>
      <c r="M165" s="144" t="s">
        <v>87</v>
      </c>
    </row>
    <row r="166" spans="1:13">
      <c r="A166" s="144" t="s">
        <v>87</v>
      </c>
      <c r="B166" s="144" t="s">
        <v>87</v>
      </c>
      <c r="C166" s="144" t="s">
        <v>87</v>
      </c>
      <c r="D166" s="145" t="s">
        <v>87</v>
      </c>
      <c r="E166" s="146" t="s">
        <v>87</v>
      </c>
      <c r="F166" s="81" t="s">
        <v>87</v>
      </c>
      <c r="G166" s="147" t="s">
        <v>87</v>
      </c>
      <c r="H166" s="148" t="s">
        <v>87</v>
      </c>
      <c r="I166" s="81" t="s">
        <v>87</v>
      </c>
      <c r="J166" s="144" t="s">
        <v>87</v>
      </c>
      <c r="K166" s="144" t="s">
        <v>87</v>
      </c>
      <c r="L166" s="144" t="s">
        <v>87</v>
      </c>
      <c r="M166" s="144" t="s">
        <v>87</v>
      </c>
    </row>
    <row r="167" spans="1:13">
      <c r="A167" s="144" t="s">
        <v>87</v>
      </c>
      <c r="B167" s="144" t="s">
        <v>87</v>
      </c>
      <c r="C167" s="144" t="s">
        <v>87</v>
      </c>
      <c r="D167" s="145" t="s">
        <v>87</v>
      </c>
      <c r="E167" s="146" t="s">
        <v>87</v>
      </c>
      <c r="F167" s="81" t="s">
        <v>87</v>
      </c>
      <c r="G167" s="147" t="s">
        <v>87</v>
      </c>
      <c r="H167" s="148" t="s">
        <v>87</v>
      </c>
      <c r="I167" s="81" t="s">
        <v>87</v>
      </c>
      <c r="J167" s="144" t="s">
        <v>87</v>
      </c>
      <c r="K167" s="144" t="s">
        <v>87</v>
      </c>
      <c r="L167" s="144" t="s">
        <v>87</v>
      </c>
      <c r="M167" s="144" t="s">
        <v>87</v>
      </c>
    </row>
    <row r="168" spans="1:13">
      <c r="A168" s="144" t="s">
        <v>87</v>
      </c>
      <c r="B168" s="144" t="s">
        <v>87</v>
      </c>
      <c r="C168" s="144" t="s">
        <v>87</v>
      </c>
      <c r="D168" s="145" t="s">
        <v>87</v>
      </c>
      <c r="E168" s="146" t="s">
        <v>87</v>
      </c>
      <c r="F168" s="81" t="s">
        <v>87</v>
      </c>
      <c r="G168" s="147" t="s">
        <v>87</v>
      </c>
      <c r="H168" s="148" t="s">
        <v>87</v>
      </c>
      <c r="I168" s="81" t="s">
        <v>87</v>
      </c>
      <c r="J168" s="144" t="s">
        <v>87</v>
      </c>
      <c r="K168" s="144" t="s">
        <v>87</v>
      </c>
      <c r="L168" s="144" t="s">
        <v>87</v>
      </c>
      <c r="M168" s="144" t="s">
        <v>87</v>
      </c>
    </row>
    <row r="169" spans="1:13">
      <c r="A169" s="144" t="s">
        <v>87</v>
      </c>
      <c r="B169" s="144" t="s">
        <v>87</v>
      </c>
      <c r="C169" s="144" t="s">
        <v>87</v>
      </c>
      <c r="D169" s="145" t="s">
        <v>87</v>
      </c>
      <c r="E169" s="146" t="s">
        <v>87</v>
      </c>
      <c r="F169" s="81" t="s">
        <v>87</v>
      </c>
      <c r="G169" s="147" t="s">
        <v>87</v>
      </c>
      <c r="H169" s="148" t="s">
        <v>87</v>
      </c>
      <c r="I169" s="81" t="s">
        <v>87</v>
      </c>
      <c r="J169" s="144" t="s">
        <v>87</v>
      </c>
      <c r="K169" s="144" t="s">
        <v>87</v>
      </c>
      <c r="L169" s="144" t="s">
        <v>87</v>
      </c>
      <c r="M169" s="144" t="s">
        <v>87</v>
      </c>
    </row>
    <row r="170" spans="1:13">
      <c r="A170" s="144" t="s">
        <v>87</v>
      </c>
      <c r="B170" s="144" t="s">
        <v>87</v>
      </c>
      <c r="C170" s="144" t="s">
        <v>87</v>
      </c>
      <c r="D170" s="145" t="s">
        <v>87</v>
      </c>
      <c r="E170" s="146" t="s">
        <v>87</v>
      </c>
      <c r="F170" s="81" t="s">
        <v>87</v>
      </c>
      <c r="G170" s="147" t="s">
        <v>87</v>
      </c>
      <c r="H170" s="148" t="s">
        <v>87</v>
      </c>
      <c r="I170" s="81" t="s">
        <v>87</v>
      </c>
      <c r="J170" s="144" t="s">
        <v>87</v>
      </c>
      <c r="K170" s="144" t="s">
        <v>87</v>
      </c>
      <c r="L170" s="144" t="s">
        <v>87</v>
      </c>
      <c r="M170" s="144" t="s">
        <v>87</v>
      </c>
    </row>
    <row r="171" spans="1:13">
      <c r="A171" s="144" t="s">
        <v>87</v>
      </c>
      <c r="B171" s="144" t="s">
        <v>87</v>
      </c>
      <c r="C171" s="144" t="s">
        <v>87</v>
      </c>
      <c r="D171" s="145" t="s">
        <v>87</v>
      </c>
      <c r="E171" s="146" t="s">
        <v>87</v>
      </c>
      <c r="F171" s="81" t="s">
        <v>87</v>
      </c>
      <c r="G171" s="147" t="s">
        <v>87</v>
      </c>
      <c r="H171" s="148" t="s">
        <v>87</v>
      </c>
      <c r="I171" s="81" t="s">
        <v>87</v>
      </c>
      <c r="J171" s="144" t="s">
        <v>87</v>
      </c>
      <c r="K171" s="144" t="s">
        <v>87</v>
      </c>
      <c r="L171" s="144" t="s">
        <v>87</v>
      </c>
      <c r="M171" s="144" t="s">
        <v>87</v>
      </c>
    </row>
    <row r="172" spans="1:13">
      <c r="A172" s="144" t="s">
        <v>87</v>
      </c>
      <c r="B172" s="144" t="s">
        <v>87</v>
      </c>
      <c r="C172" s="144" t="s">
        <v>87</v>
      </c>
      <c r="D172" s="145" t="s">
        <v>87</v>
      </c>
      <c r="E172" s="146" t="s">
        <v>87</v>
      </c>
      <c r="F172" s="81" t="s">
        <v>87</v>
      </c>
      <c r="G172" s="147" t="s">
        <v>87</v>
      </c>
      <c r="H172" s="148" t="s">
        <v>87</v>
      </c>
      <c r="I172" s="81" t="s">
        <v>87</v>
      </c>
      <c r="J172" s="144" t="s">
        <v>87</v>
      </c>
      <c r="K172" s="144" t="s">
        <v>87</v>
      </c>
      <c r="L172" s="144" t="s">
        <v>87</v>
      </c>
      <c r="M172" s="144" t="s">
        <v>87</v>
      </c>
    </row>
    <row r="173" spans="1:13">
      <c r="A173" s="24" t="s">
        <v>87</v>
      </c>
      <c r="B173" s="24" t="s">
        <v>87</v>
      </c>
      <c r="C173" s="24" t="s">
        <v>87</v>
      </c>
      <c r="D173" s="79" t="s">
        <v>87</v>
      </c>
      <c r="E173" s="77" t="s">
        <v>87</v>
      </c>
      <c r="F173" s="81" t="s">
        <v>87</v>
      </c>
      <c r="G173" s="84" t="s">
        <v>87</v>
      </c>
      <c r="H173" s="76" t="s">
        <v>87</v>
      </c>
      <c r="I173" s="81" t="s">
        <v>87</v>
      </c>
      <c r="J173" s="24" t="s">
        <v>87</v>
      </c>
      <c r="K173" s="24" t="s">
        <v>87</v>
      </c>
      <c r="L173" s="24" t="s">
        <v>87</v>
      </c>
      <c r="M173" s="24" t="s">
        <v>87</v>
      </c>
    </row>
    <row r="174" spans="1:13">
      <c r="A174" s="24" t="s">
        <v>87</v>
      </c>
      <c r="B174" s="24" t="s">
        <v>87</v>
      </c>
      <c r="C174" s="24" t="s">
        <v>87</v>
      </c>
      <c r="D174" s="79" t="s">
        <v>87</v>
      </c>
      <c r="E174" s="77" t="s">
        <v>87</v>
      </c>
      <c r="F174" s="81" t="s">
        <v>87</v>
      </c>
      <c r="G174" s="84" t="s">
        <v>87</v>
      </c>
      <c r="H174" s="76" t="s">
        <v>87</v>
      </c>
      <c r="I174" s="81" t="s">
        <v>87</v>
      </c>
      <c r="J174" s="24" t="s">
        <v>87</v>
      </c>
      <c r="K174" s="24" t="s">
        <v>87</v>
      </c>
      <c r="L174" s="24" t="s">
        <v>87</v>
      </c>
      <c r="M174" s="24" t="s">
        <v>87</v>
      </c>
    </row>
    <row r="175" spans="1:13">
      <c r="A175" s="24" t="s">
        <v>87</v>
      </c>
      <c r="B175" s="24" t="s">
        <v>87</v>
      </c>
      <c r="C175" s="24" t="s">
        <v>87</v>
      </c>
      <c r="D175" s="79" t="s">
        <v>87</v>
      </c>
      <c r="E175" s="77" t="s">
        <v>87</v>
      </c>
      <c r="F175" s="81" t="s">
        <v>87</v>
      </c>
      <c r="G175" s="84" t="s">
        <v>87</v>
      </c>
      <c r="H175" s="76" t="s">
        <v>87</v>
      </c>
      <c r="I175" s="81" t="s">
        <v>87</v>
      </c>
      <c r="J175" s="24" t="s">
        <v>87</v>
      </c>
      <c r="K175" s="24" t="s">
        <v>87</v>
      </c>
      <c r="L175" s="24" t="s">
        <v>87</v>
      </c>
      <c r="M175" s="24" t="s">
        <v>87</v>
      </c>
    </row>
    <row r="176" spans="1:13">
      <c r="A176" s="24" t="s">
        <v>87</v>
      </c>
      <c r="B176" s="24" t="s">
        <v>87</v>
      </c>
      <c r="C176" s="24" t="s">
        <v>87</v>
      </c>
      <c r="D176" s="79" t="s">
        <v>87</v>
      </c>
      <c r="E176" s="77" t="s">
        <v>87</v>
      </c>
      <c r="F176" s="81" t="s">
        <v>87</v>
      </c>
      <c r="G176" s="84" t="s">
        <v>87</v>
      </c>
      <c r="H176" s="76" t="s">
        <v>87</v>
      </c>
      <c r="I176" s="81" t="s">
        <v>87</v>
      </c>
      <c r="J176" s="24" t="s">
        <v>87</v>
      </c>
      <c r="K176" s="24" t="s">
        <v>87</v>
      </c>
      <c r="L176" s="24" t="s">
        <v>87</v>
      </c>
      <c r="M176" s="24" t="s">
        <v>87</v>
      </c>
    </row>
    <row r="177" spans="1:13">
      <c r="A177" s="24" t="s">
        <v>87</v>
      </c>
      <c r="B177" s="24" t="s">
        <v>87</v>
      </c>
      <c r="C177" s="24" t="s">
        <v>87</v>
      </c>
      <c r="D177" s="79" t="s">
        <v>87</v>
      </c>
      <c r="E177" s="77" t="s">
        <v>87</v>
      </c>
      <c r="F177" s="81" t="s">
        <v>87</v>
      </c>
      <c r="G177" s="84" t="s">
        <v>87</v>
      </c>
      <c r="H177" s="76" t="s">
        <v>87</v>
      </c>
      <c r="I177" s="81" t="s">
        <v>87</v>
      </c>
      <c r="J177" s="24" t="s">
        <v>87</v>
      </c>
      <c r="K177" s="24" t="s">
        <v>87</v>
      </c>
      <c r="L177" s="24" t="s">
        <v>87</v>
      </c>
      <c r="M177" s="24" t="s">
        <v>87</v>
      </c>
    </row>
    <row r="178" spans="1:13">
      <c r="A178" s="24" t="s">
        <v>87</v>
      </c>
      <c r="B178" s="24" t="s">
        <v>87</v>
      </c>
      <c r="C178" s="24" t="s">
        <v>87</v>
      </c>
      <c r="D178" s="79" t="s">
        <v>87</v>
      </c>
      <c r="E178" s="77" t="s">
        <v>87</v>
      </c>
      <c r="F178" s="81" t="s">
        <v>87</v>
      </c>
      <c r="G178" s="84" t="s">
        <v>87</v>
      </c>
      <c r="H178" s="76" t="s">
        <v>87</v>
      </c>
      <c r="I178" s="81" t="s">
        <v>87</v>
      </c>
      <c r="J178" s="24" t="s">
        <v>87</v>
      </c>
      <c r="K178" s="24" t="s">
        <v>87</v>
      </c>
      <c r="L178" s="24" t="s">
        <v>87</v>
      </c>
      <c r="M178" s="24" t="s">
        <v>87</v>
      </c>
    </row>
    <row r="179" spans="1:13">
      <c r="A179" s="24" t="s">
        <v>87</v>
      </c>
      <c r="B179" s="24" t="s">
        <v>87</v>
      </c>
      <c r="C179" s="24" t="s">
        <v>87</v>
      </c>
      <c r="D179" s="79" t="s">
        <v>87</v>
      </c>
      <c r="E179" s="77" t="s">
        <v>87</v>
      </c>
      <c r="F179" s="81" t="s">
        <v>87</v>
      </c>
      <c r="G179" s="84" t="s">
        <v>87</v>
      </c>
      <c r="H179" s="76" t="s">
        <v>87</v>
      </c>
      <c r="I179" s="81" t="s">
        <v>87</v>
      </c>
      <c r="J179" s="24" t="s">
        <v>87</v>
      </c>
      <c r="K179" s="24" t="s">
        <v>87</v>
      </c>
      <c r="L179" s="24" t="s">
        <v>87</v>
      </c>
      <c r="M179" s="24" t="s">
        <v>87</v>
      </c>
    </row>
    <row r="180" spans="1:13">
      <c r="A180" s="24" t="s">
        <v>87</v>
      </c>
      <c r="B180" s="24" t="s">
        <v>87</v>
      </c>
      <c r="C180" s="24" t="s">
        <v>87</v>
      </c>
      <c r="D180" s="79" t="s">
        <v>87</v>
      </c>
      <c r="E180" s="77" t="s">
        <v>87</v>
      </c>
      <c r="F180" s="81" t="s">
        <v>87</v>
      </c>
      <c r="G180" s="84" t="s">
        <v>87</v>
      </c>
      <c r="H180" s="76" t="s">
        <v>87</v>
      </c>
      <c r="I180" s="81" t="s">
        <v>87</v>
      </c>
      <c r="J180" s="24" t="s">
        <v>87</v>
      </c>
      <c r="K180" s="24" t="s">
        <v>87</v>
      </c>
      <c r="L180" s="24" t="s">
        <v>87</v>
      </c>
      <c r="M180" s="24" t="s">
        <v>87</v>
      </c>
    </row>
    <row r="181" spans="1:13">
      <c r="A181" s="24" t="s">
        <v>87</v>
      </c>
      <c r="B181" s="24" t="s">
        <v>87</v>
      </c>
      <c r="C181" s="24" t="s">
        <v>87</v>
      </c>
      <c r="D181" s="79" t="s">
        <v>87</v>
      </c>
      <c r="E181" s="77" t="s">
        <v>87</v>
      </c>
      <c r="F181" s="81" t="s">
        <v>87</v>
      </c>
      <c r="G181" s="84" t="s">
        <v>87</v>
      </c>
      <c r="H181" s="76" t="s">
        <v>87</v>
      </c>
      <c r="I181" s="81" t="s">
        <v>87</v>
      </c>
      <c r="J181" s="24" t="s">
        <v>87</v>
      </c>
      <c r="K181" s="24" t="s">
        <v>87</v>
      </c>
      <c r="L181" s="24" t="s">
        <v>87</v>
      </c>
      <c r="M181" s="24" t="s">
        <v>87</v>
      </c>
    </row>
    <row r="182" spans="1:13">
      <c r="A182" s="24" t="s">
        <v>87</v>
      </c>
      <c r="B182" s="24" t="s">
        <v>87</v>
      </c>
      <c r="C182" s="24" t="s">
        <v>87</v>
      </c>
      <c r="D182" s="79" t="s">
        <v>87</v>
      </c>
      <c r="E182" s="77" t="s">
        <v>87</v>
      </c>
      <c r="F182" s="81" t="s">
        <v>87</v>
      </c>
      <c r="G182" s="84" t="s">
        <v>87</v>
      </c>
      <c r="H182" s="76" t="s">
        <v>87</v>
      </c>
      <c r="I182" s="81" t="s">
        <v>87</v>
      </c>
      <c r="J182" s="24" t="s">
        <v>87</v>
      </c>
      <c r="K182" s="24" t="s">
        <v>87</v>
      </c>
      <c r="L182" s="24" t="s">
        <v>87</v>
      </c>
      <c r="M182" s="24" t="s">
        <v>87</v>
      </c>
    </row>
    <row r="183" spans="1:13">
      <c r="A183" s="24" t="s">
        <v>87</v>
      </c>
      <c r="B183" s="24" t="s">
        <v>87</v>
      </c>
      <c r="C183" s="24" t="s">
        <v>87</v>
      </c>
      <c r="D183" s="79" t="s">
        <v>87</v>
      </c>
      <c r="E183" s="77" t="s">
        <v>87</v>
      </c>
      <c r="F183" s="81" t="s">
        <v>87</v>
      </c>
      <c r="G183" s="84" t="s">
        <v>87</v>
      </c>
      <c r="H183" s="76" t="s">
        <v>87</v>
      </c>
      <c r="I183" s="81" t="s">
        <v>87</v>
      </c>
      <c r="J183" s="24" t="s">
        <v>87</v>
      </c>
      <c r="K183" s="24" t="s">
        <v>87</v>
      </c>
      <c r="L183" s="24" t="s">
        <v>87</v>
      </c>
      <c r="M183" s="24" t="s">
        <v>87</v>
      </c>
    </row>
    <row r="184" spans="1:13">
      <c r="A184" s="24" t="s">
        <v>87</v>
      </c>
      <c r="B184" s="24" t="s">
        <v>87</v>
      </c>
      <c r="C184" s="24" t="s">
        <v>87</v>
      </c>
      <c r="D184" s="79" t="s">
        <v>87</v>
      </c>
      <c r="E184" s="77" t="s">
        <v>87</v>
      </c>
      <c r="F184" s="81" t="s">
        <v>87</v>
      </c>
      <c r="G184" s="84" t="s">
        <v>87</v>
      </c>
      <c r="H184" s="76" t="s">
        <v>87</v>
      </c>
      <c r="I184" s="81" t="s">
        <v>87</v>
      </c>
      <c r="J184" s="24" t="s">
        <v>87</v>
      </c>
      <c r="K184" s="24" t="s">
        <v>87</v>
      </c>
      <c r="L184" s="24" t="s">
        <v>87</v>
      </c>
      <c r="M184" s="24" t="s">
        <v>87</v>
      </c>
    </row>
    <row r="185" spans="1:13">
      <c r="A185" s="24" t="s">
        <v>87</v>
      </c>
      <c r="B185" s="24" t="s">
        <v>87</v>
      </c>
      <c r="C185" s="24" t="s">
        <v>87</v>
      </c>
      <c r="D185" s="79" t="s">
        <v>87</v>
      </c>
      <c r="E185" s="77" t="s">
        <v>87</v>
      </c>
      <c r="F185" s="81" t="s">
        <v>87</v>
      </c>
      <c r="G185" s="84" t="s">
        <v>87</v>
      </c>
      <c r="H185" s="76" t="s">
        <v>87</v>
      </c>
      <c r="I185" s="81" t="s">
        <v>87</v>
      </c>
      <c r="J185" s="24" t="s">
        <v>87</v>
      </c>
      <c r="K185" s="24" t="s">
        <v>87</v>
      </c>
      <c r="L185" s="24" t="s">
        <v>87</v>
      </c>
      <c r="M185" s="24" t="s">
        <v>87</v>
      </c>
    </row>
    <row r="186" spans="1:13">
      <c r="A186" s="24" t="s">
        <v>87</v>
      </c>
      <c r="B186" s="24" t="s">
        <v>87</v>
      </c>
      <c r="C186" s="24" t="s">
        <v>87</v>
      </c>
      <c r="D186" s="79" t="s">
        <v>87</v>
      </c>
      <c r="E186" s="77" t="s">
        <v>87</v>
      </c>
      <c r="F186" s="81" t="s">
        <v>87</v>
      </c>
      <c r="G186" s="84" t="s">
        <v>87</v>
      </c>
      <c r="H186" s="76" t="s">
        <v>87</v>
      </c>
      <c r="I186" s="81" t="s">
        <v>87</v>
      </c>
      <c r="J186" s="24" t="s">
        <v>87</v>
      </c>
      <c r="K186" s="24" t="s">
        <v>87</v>
      </c>
      <c r="L186" s="24" t="s">
        <v>87</v>
      </c>
      <c r="M186" s="24" t="s">
        <v>87</v>
      </c>
    </row>
    <row r="187" spans="1:13">
      <c r="A187" s="24" t="s">
        <v>87</v>
      </c>
      <c r="B187" s="24" t="s">
        <v>87</v>
      </c>
      <c r="C187" s="24" t="s">
        <v>87</v>
      </c>
      <c r="D187" s="79" t="s">
        <v>87</v>
      </c>
      <c r="E187" s="77" t="s">
        <v>87</v>
      </c>
      <c r="F187" s="81" t="s">
        <v>87</v>
      </c>
      <c r="G187" s="84" t="s">
        <v>87</v>
      </c>
      <c r="H187" s="76" t="s">
        <v>87</v>
      </c>
      <c r="I187" s="81" t="s">
        <v>87</v>
      </c>
      <c r="J187" s="24" t="s">
        <v>87</v>
      </c>
      <c r="K187" s="24" t="s">
        <v>87</v>
      </c>
      <c r="L187" s="24" t="s">
        <v>87</v>
      </c>
      <c r="M187" s="24" t="s">
        <v>87</v>
      </c>
    </row>
    <row r="188" spans="1:13">
      <c r="A188" s="24" t="s">
        <v>87</v>
      </c>
      <c r="B188" s="24" t="s">
        <v>87</v>
      </c>
      <c r="C188" s="24" t="s">
        <v>87</v>
      </c>
      <c r="D188" s="79" t="s">
        <v>87</v>
      </c>
      <c r="E188" s="77" t="s">
        <v>87</v>
      </c>
      <c r="F188" s="81" t="s">
        <v>87</v>
      </c>
      <c r="G188" s="84" t="s">
        <v>87</v>
      </c>
      <c r="H188" s="76" t="s">
        <v>87</v>
      </c>
      <c r="I188" s="81" t="s">
        <v>87</v>
      </c>
      <c r="J188" s="24" t="s">
        <v>87</v>
      </c>
      <c r="K188" s="24" t="s">
        <v>87</v>
      </c>
      <c r="L188" s="24" t="s">
        <v>87</v>
      </c>
      <c r="M188" s="24" t="s">
        <v>87</v>
      </c>
    </row>
    <row r="189" spans="1:13" hidden="1">
      <c r="A189" s="24" t="s">
        <v>87</v>
      </c>
      <c r="B189" s="24" t="s">
        <v>87</v>
      </c>
      <c r="C189" s="24" t="s">
        <v>87</v>
      </c>
      <c r="D189" s="79" t="s">
        <v>87</v>
      </c>
      <c r="E189" s="77" t="s">
        <v>87</v>
      </c>
      <c r="F189" s="81" t="s">
        <v>87</v>
      </c>
      <c r="G189" s="84" t="s">
        <v>87</v>
      </c>
      <c r="H189" s="76" t="s">
        <v>87</v>
      </c>
      <c r="I189" s="81" t="s">
        <v>87</v>
      </c>
      <c r="J189" s="24" t="s">
        <v>87</v>
      </c>
      <c r="K189" s="24" t="s">
        <v>87</v>
      </c>
      <c r="L189" s="24" t="s">
        <v>87</v>
      </c>
      <c r="M189" s="24" t="s">
        <v>87</v>
      </c>
    </row>
    <row r="190" spans="1:13" hidden="1">
      <c r="A190" s="24" t="s">
        <v>87</v>
      </c>
      <c r="B190" s="24" t="s">
        <v>87</v>
      </c>
      <c r="C190" s="24" t="s">
        <v>87</v>
      </c>
      <c r="D190" s="79" t="s">
        <v>87</v>
      </c>
      <c r="E190" s="77" t="s">
        <v>87</v>
      </c>
      <c r="F190" s="81" t="s">
        <v>87</v>
      </c>
      <c r="G190" s="84" t="s">
        <v>87</v>
      </c>
      <c r="H190" s="76" t="s">
        <v>87</v>
      </c>
      <c r="I190" s="81" t="s">
        <v>87</v>
      </c>
      <c r="J190" s="24" t="s">
        <v>87</v>
      </c>
      <c r="K190" s="24" t="s">
        <v>87</v>
      </c>
      <c r="L190" s="24" t="s">
        <v>87</v>
      </c>
      <c r="M190" s="24" t="s">
        <v>87</v>
      </c>
    </row>
    <row r="191" spans="1:13" hidden="1">
      <c r="A191" s="24" t="s">
        <v>87</v>
      </c>
      <c r="B191" s="24" t="s">
        <v>87</v>
      </c>
      <c r="C191" s="24" t="s">
        <v>87</v>
      </c>
      <c r="D191" s="79" t="s">
        <v>87</v>
      </c>
      <c r="E191" s="77" t="s">
        <v>87</v>
      </c>
      <c r="F191" s="81" t="s">
        <v>87</v>
      </c>
      <c r="G191" s="84" t="s">
        <v>87</v>
      </c>
      <c r="H191" s="76" t="s">
        <v>87</v>
      </c>
      <c r="I191" s="81" t="s">
        <v>87</v>
      </c>
      <c r="J191" s="24" t="s">
        <v>87</v>
      </c>
      <c r="K191" s="24" t="s">
        <v>87</v>
      </c>
      <c r="L191" s="24" t="s">
        <v>87</v>
      </c>
      <c r="M191" s="24" t="s">
        <v>87</v>
      </c>
    </row>
    <row r="192" spans="1:13" hidden="1">
      <c r="A192" s="24" t="s">
        <v>87</v>
      </c>
      <c r="B192" s="24" t="s">
        <v>87</v>
      </c>
      <c r="C192" s="24" t="s">
        <v>87</v>
      </c>
      <c r="D192" s="79" t="s">
        <v>87</v>
      </c>
      <c r="E192" s="77" t="s">
        <v>87</v>
      </c>
      <c r="F192" s="81" t="s">
        <v>87</v>
      </c>
      <c r="G192" s="84" t="s">
        <v>87</v>
      </c>
      <c r="H192" s="76" t="s">
        <v>87</v>
      </c>
      <c r="I192" s="81" t="s">
        <v>87</v>
      </c>
      <c r="J192" s="24" t="s">
        <v>87</v>
      </c>
      <c r="K192" s="24" t="s">
        <v>87</v>
      </c>
      <c r="L192" s="24" t="s">
        <v>87</v>
      </c>
      <c r="M192" s="24" t="s">
        <v>87</v>
      </c>
    </row>
    <row r="193" spans="1:13" hidden="1">
      <c r="A193" s="24" t="s">
        <v>87</v>
      </c>
      <c r="B193" s="24" t="s">
        <v>87</v>
      </c>
      <c r="C193" s="24" t="s">
        <v>87</v>
      </c>
      <c r="D193" s="79" t="s">
        <v>87</v>
      </c>
      <c r="E193" s="77" t="s">
        <v>87</v>
      </c>
      <c r="F193" s="81" t="s">
        <v>87</v>
      </c>
      <c r="G193" s="84" t="s">
        <v>87</v>
      </c>
      <c r="H193" s="76" t="s">
        <v>87</v>
      </c>
      <c r="I193" s="81" t="s">
        <v>87</v>
      </c>
      <c r="J193" s="24" t="s">
        <v>87</v>
      </c>
      <c r="K193" s="24" t="s">
        <v>87</v>
      </c>
      <c r="L193" s="24" t="s">
        <v>87</v>
      </c>
      <c r="M193" s="24" t="s">
        <v>87</v>
      </c>
    </row>
    <row r="194" spans="1:13" hidden="1">
      <c r="A194" s="24" t="s">
        <v>87</v>
      </c>
      <c r="B194" s="24" t="s">
        <v>87</v>
      </c>
      <c r="C194" s="24" t="s">
        <v>87</v>
      </c>
      <c r="D194" s="79" t="s">
        <v>87</v>
      </c>
      <c r="E194" s="77" t="s">
        <v>87</v>
      </c>
      <c r="F194" s="81" t="s">
        <v>87</v>
      </c>
      <c r="G194" s="84" t="s">
        <v>87</v>
      </c>
      <c r="H194" s="76" t="s">
        <v>87</v>
      </c>
      <c r="I194" s="81" t="s">
        <v>87</v>
      </c>
      <c r="J194" s="24" t="s">
        <v>87</v>
      </c>
      <c r="K194" s="24" t="s">
        <v>87</v>
      </c>
      <c r="L194" s="24" t="s">
        <v>87</v>
      </c>
      <c r="M194" s="24" t="s">
        <v>87</v>
      </c>
    </row>
    <row r="195" spans="1:13" hidden="1">
      <c r="A195" s="24" t="s">
        <v>87</v>
      </c>
      <c r="B195" s="24" t="s">
        <v>87</v>
      </c>
      <c r="C195" s="24" t="s">
        <v>87</v>
      </c>
      <c r="D195" s="79" t="s">
        <v>87</v>
      </c>
      <c r="E195" s="77" t="s">
        <v>87</v>
      </c>
      <c r="F195" s="81" t="s">
        <v>87</v>
      </c>
      <c r="G195" s="84" t="s">
        <v>87</v>
      </c>
      <c r="H195" s="76" t="s">
        <v>87</v>
      </c>
      <c r="I195" s="81" t="s">
        <v>87</v>
      </c>
      <c r="J195" s="24" t="s">
        <v>87</v>
      </c>
      <c r="K195" s="24" t="s">
        <v>87</v>
      </c>
      <c r="L195" s="24" t="s">
        <v>87</v>
      </c>
      <c r="M195" s="24" t="s">
        <v>87</v>
      </c>
    </row>
    <row r="196" spans="1:13" hidden="1">
      <c r="A196" s="24" t="s">
        <v>87</v>
      </c>
      <c r="B196" s="24" t="s">
        <v>87</v>
      </c>
      <c r="C196" s="24" t="s">
        <v>87</v>
      </c>
      <c r="D196" s="79" t="s">
        <v>87</v>
      </c>
      <c r="E196" s="77" t="s">
        <v>87</v>
      </c>
      <c r="F196" s="81" t="s">
        <v>87</v>
      </c>
      <c r="G196" s="84" t="s">
        <v>87</v>
      </c>
      <c r="H196" s="76" t="s">
        <v>87</v>
      </c>
      <c r="I196" s="81" t="s">
        <v>87</v>
      </c>
      <c r="J196" s="24" t="s">
        <v>87</v>
      </c>
      <c r="K196" s="24" t="s">
        <v>87</v>
      </c>
      <c r="L196" s="24" t="s">
        <v>87</v>
      </c>
      <c r="M196" s="24" t="s">
        <v>87</v>
      </c>
    </row>
    <row r="197" spans="1:13" hidden="1">
      <c r="A197" s="24" t="s">
        <v>87</v>
      </c>
      <c r="B197" s="24" t="s">
        <v>87</v>
      </c>
      <c r="C197" s="24" t="s">
        <v>87</v>
      </c>
      <c r="D197" s="79" t="s">
        <v>87</v>
      </c>
      <c r="E197" s="77" t="s">
        <v>87</v>
      </c>
      <c r="F197" s="81" t="s">
        <v>87</v>
      </c>
      <c r="G197" s="84" t="s">
        <v>87</v>
      </c>
      <c r="H197" s="76" t="s">
        <v>87</v>
      </c>
      <c r="I197" s="81" t="s">
        <v>87</v>
      </c>
      <c r="J197" s="24" t="s">
        <v>87</v>
      </c>
      <c r="K197" s="24" t="s">
        <v>87</v>
      </c>
      <c r="L197" s="24" t="s">
        <v>87</v>
      </c>
      <c r="M197" s="24" t="s">
        <v>87</v>
      </c>
    </row>
    <row r="198" spans="1:13" hidden="1">
      <c r="A198" s="24" t="s">
        <v>87</v>
      </c>
      <c r="B198" s="24" t="s">
        <v>87</v>
      </c>
      <c r="C198" s="24" t="s">
        <v>87</v>
      </c>
      <c r="D198" s="79" t="s">
        <v>87</v>
      </c>
      <c r="E198" s="77" t="s">
        <v>87</v>
      </c>
      <c r="F198" s="81" t="s">
        <v>87</v>
      </c>
      <c r="G198" s="84" t="s">
        <v>87</v>
      </c>
      <c r="H198" s="76" t="s">
        <v>87</v>
      </c>
      <c r="I198" s="81" t="s">
        <v>87</v>
      </c>
      <c r="J198" s="24" t="s">
        <v>87</v>
      </c>
      <c r="K198" s="24" t="s">
        <v>87</v>
      </c>
      <c r="L198" s="24" t="s">
        <v>87</v>
      </c>
      <c r="M198" s="24" t="s">
        <v>87</v>
      </c>
    </row>
    <row r="199" spans="1:13" hidden="1">
      <c r="A199" s="24" t="s">
        <v>87</v>
      </c>
      <c r="B199" s="24" t="s">
        <v>87</v>
      </c>
      <c r="C199" s="24" t="s">
        <v>87</v>
      </c>
      <c r="D199" s="79" t="s">
        <v>87</v>
      </c>
      <c r="E199" s="77" t="s">
        <v>87</v>
      </c>
      <c r="F199" s="81" t="s">
        <v>87</v>
      </c>
      <c r="G199" s="84" t="s">
        <v>87</v>
      </c>
      <c r="H199" s="76" t="s">
        <v>87</v>
      </c>
      <c r="I199" s="81" t="s">
        <v>87</v>
      </c>
      <c r="J199" s="24" t="s">
        <v>87</v>
      </c>
      <c r="K199" s="24" t="s">
        <v>87</v>
      </c>
      <c r="L199" s="24" t="s">
        <v>87</v>
      </c>
      <c r="M199" s="24" t="s">
        <v>87</v>
      </c>
    </row>
    <row r="200" spans="1:13" hidden="1">
      <c r="A200" s="24" t="s">
        <v>87</v>
      </c>
      <c r="B200" s="24" t="s">
        <v>87</v>
      </c>
      <c r="C200" s="24" t="s">
        <v>87</v>
      </c>
      <c r="D200" s="79" t="s">
        <v>87</v>
      </c>
      <c r="E200" s="77" t="s">
        <v>87</v>
      </c>
      <c r="F200" s="81" t="s">
        <v>87</v>
      </c>
      <c r="G200" s="84" t="s">
        <v>87</v>
      </c>
      <c r="H200" s="76" t="s">
        <v>87</v>
      </c>
      <c r="I200" s="81" t="s">
        <v>87</v>
      </c>
      <c r="J200" s="24" t="s">
        <v>87</v>
      </c>
      <c r="K200" s="24" t="s">
        <v>87</v>
      </c>
      <c r="L200" s="24" t="s">
        <v>87</v>
      </c>
      <c r="M200" s="24" t="s">
        <v>87</v>
      </c>
    </row>
    <row r="201" spans="1:13" hidden="1">
      <c r="A201" s="24" t="s">
        <v>87</v>
      </c>
      <c r="B201" s="24" t="s">
        <v>87</v>
      </c>
      <c r="C201" s="24" t="s">
        <v>87</v>
      </c>
      <c r="D201" s="79" t="s">
        <v>87</v>
      </c>
      <c r="E201" s="77" t="s">
        <v>87</v>
      </c>
      <c r="F201" s="81" t="s">
        <v>87</v>
      </c>
      <c r="G201" s="84" t="s">
        <v>87</v>
      </c>
      <c r="H201" s="76" t="s">
        <v>87</v>
      </c>
      <c r="I201" s="81" t="s">
        <v>87</v>
      </c>
      <c r="J201" s="24" t="s">
        <v>87</v>
      </c>
      <c r="K201" s="24" t="s">
        <v>87</v>
      </c>
      <c r="L201" s="24" t="s">
        <v>87</v>
      </c>
      <c r="M201" s="24" t="s">
        <v>87</v>
      </c>
    </row>
    <row r="202" spans="1:13" hidden="1">
      <c r="A202" s="24" t="s">
        <v>87</v>
      </c>
      <c r="B202" s="24" t="s">
        <v>87</v>
      </c>
      <c r="C202" s="24" t="s">
        <v>87</v>
      </c>
      <c r="D202" s="79" t="s">
        <v>87</v>
      </c>
      <c r="E202" s="77" t="s">
        <v>87</v>
      </c>
      <c r="F202" s="81" t="s">
        <v>87</v>
      </c>
      <c r="G202" s="84" t="s">
        <v>87</v>
      </c>
      <c r="H202" s="76" t="s">
        <v>87</v>
      </c>
      <c r="I202" s="81" t="s">
        <v>87</v>
      </c>
      <c r="J202" s="24" t="s">
        <v>87</v>
      </c>
      <c r="K202" s="24" t="s">
        <v>87</v>
      </c>
      <c r="L202" s="24" t="s">
        <v>87</v>
      </c>
      <c r="M202" s="24" t="s">
        <v>87</v>
      </c>
    </row>
    <row r="203" spans="1:13" hidden="1">
      <c r="A203" s="24" t="s">
        <v>87</v>
      </c>
      <c r="B203" s="24" t="s">
        <v>87</v>
      </c>
      <c r="C203" s="24" t="s">
        <v>87</v>
      </c>
      <c r="D203" s="79" t="s">
        <v>87</v>
      </c>
      <c r="E203" s="77" t="s">
        <v>87</v>
      </c>
      <c r="F203" s="81" t="s">
        <v>87</v>
      </c>
      <c r="G203" s="84" t="s">
        <v>87</v>
      </c>
      <c r="H203" s="76" t="s">
        <v>87</v>
      </c>
      <c r="I203" s="81" t="s">
        <v>87</v>
      </c>
      <c r="J203" s="24" t="s">
        <v>87</v>
      </c>
      <c r="K203" s="24" t="s">
        <v>87</v>
      </c>
      <c r="L203" s="24" t="s">
        <v>87</v>
      </c>
      <c r="M203" s="24" t="s">
        <v>87</v>
      </c>
    </row>
    <row r="204" spans="1:13" hidden="1">
      <c r="A204" s="24" t="s">
        <v>87</v>
      </c>
      <c r="B204" s="24" t="s">
        <v>87</v>
      </c>
      <c r="C204" s="24" t="s">
        <v>87</v>
      </c>
      <c r="D204" s="79" t="s">
        <v>87</v>
      </c>
      <c r="E204" s="77" t="s">
        <v>87</v>
      </c>
      <c r="F204" s="81" t="s">
        <v>87</v>
      </c>
      <c r="G204" s="84" t="s">
        <v>87</v>
      </c>
      <c r="H204" s="76" t="s">
        <v>87</v>
      </c>
      <c r="I204" s="81" t="s">
        <v>87</v>
      </c>
      <c r="J204" s="24" t="s">
        <v>87</v>
      </c>
      <c r="K204" s="24" t="s">
        <v>87</v>
      </c>
      <c r="L204" s="24" t="s">
        <v>87</v>
      </c>
      <c r="M204" s="24" t="s">
        <v>87</v>
      </c>
    </row>
    <row r="205" spans="1:13" hidden="1">
      <c r="A205" s="24" t="s">
        <v>87</v>
      </c>
      <c r="B205" s="24" t="s">
        <v>87</v>
      </c>
      <c r="C205" s="24" t="s">
        <v>87</v>
      </c>
      <c r="D205" s="79" t="s">
        <v>87</v>
      </c>
      <c r="E205" s="77" t="s">
        <v>87</v>
      </c>
      <c r="F205" s="81" t="s">
        <v>87</v>
      </c>
      <c r="G205" s="84" t="s">
        <v>87</v>
      </c>
      <c r="H205" s="76" t="s">
        <v>87</v>
      </c>
      <c r="I205" s="81" t="s">
        <v>87</v>
      </c>
      <c r="J205" s="24" t="s">
        <v>87</v>
      </c>
      <c r="K205" s="24" t="s">
        <v>87</v>
      </c>
      <c r="L205" s="24" t="s">
        <v>87</v>
      </c>
      <c r="M205" s="24" t="s">
        <v>87</v>
      </c>
    </row>
    <row r="206" spans="1:13" hidden="1">
      <c r="A206" s="24" t="s">
        <v>87</v>
      </c>
      <c r="B206" s="24" t="s">
        <v>87</v>
      </c>
      <c r="C206" s="24" t="s">
        <v>87</v>
      </c>
      <c r="D206" s="79" t="s">
        <v>87</v>
      </c>
      <c r="E206" s="77" t="s">
        <v>87</v>
      </c>
      <c r="F206" s="81" t="s">
        <v>87</v>
      </c>
      <c r="G206" s="84" t="s">
        <v>87</v>
      </c>
      <c r="H206" s="76" t="s">
        <v>87</v>
      </c>
      <c r="I206" s="81" t="s">
        <v>87</v>
      </c>
      <c r="J206" s="24" t="s">
        <v>87</v>
      </c>
      <c r="K206" s="24" t="s">
        <v>87</v>
      </c>
      <c r="L206" s="24" t="s">
        <v>87</v>
      </c>
      <c r="M206" s="24" t="s">
        <v>87</v>
      </c>
    </row>
    <row r="207" spans="1:13" hidden="1">
      <c r="A207" s="24" t="s">
        <v>87</v>
      </c>
      <c r="B207" s="24" t="s">
        <v>87</v>
      </c>
      <c r="C207" s="24" t="s">
        <v>87</v>
      </c>
      <c r="D207" s="79" t="s">
        <v>87</v>
      </c>
      <c r="E207" s="77" t="s">
        <v>87</v>
      </c>
      <c r="F207" s="81" t="s">
        <v>87</v>
      </c>
      <c r="G207" s="84" t="s">
        <v>87</v>
      </c>
      <c r="H207" s="76" t="s">
        <v>87</v>
      </c>
      <c r="I207" s="81" t="s">
        <v>87</v>
      </c>
      <c r="J207" s="24" t="s">
        <v>87</v>
      </c>
      <c r="K207" s="24" t="s">
        <v>87</v>
      </c>
      <c r="L207" s="24" t="s">
        <v>87</v>
      </c>
      <c r="M207" s="24" t="s">
        <v>87</v>
      </c>
    </row>
    <row r="208" spans="1:13" hidden="1">
      <c r="A208" s="24" t="s">
        <v>87</v>
      </c>
      <c r="B208" s="24" t="s">
        <v>87</v>
      </c>
      <c r="C208" s="24" t="s">
        <v>87</v>
      </c>
      <c r="D208" s="79" t="s">
        <v>87</v>
      </c>
      <c r="E208" s="77" t="s">
        <v>87</v>
      </c>
      <c r="F208" s="81" t="s">
        <v>87</v>
      </c>
      <c r="G208" s="84" t="s">
        <v>87</v>
      </c>
      <c r="H208" s="76" t="s">
        <v>87</v>
      </c>
      <c r="I208" s="81" t="s">
        <v>87</v>
      </c>
      <c r="J208" s="24" t="s">
        <v>87</v>
      </c>
      <c r="K208" s="24" t="s">
        <v>87</v>
      </c>
      <c r="L208" s="24" t="s">
        <v>87</v>
      </c>
      <c r="M208" s="24" t="s">
        <v>87</v>
      </c>
    </row>
    <row r="209" spans="1:13" hidden="1">
      <c r="A209" s="24" t="s">
        <v>87</v>
      </c>
      <c r="B209" s="24" t="s">
        <v>87</v>
      </c>
      <c r="C209" s="24" t="s">
        <v>87</v>
      </c>
      <c r="D209" s="79" t="s">
        <v>87</v>
      </c>
      <c r="E209" s="77" t="s">
        <v>87</v>
      </c>
      <c r="F209" s="81" t="s">
        <v>87</v>
      </c>
      <c r="G209" s="84" t="s">
        <v>87</v>
      </c>
      <c r="H209" s="76" t="s">
        <v>87</v>
      </c>
      <c r="I209" s="81" t="s">
        <v>87</v>
      </c>
      <c r="J209" s="24" t="s">
        <v>87</v>
      </c>
      <c r="K209" s="24" t="s">
        <v>87</v>
      </c>
      <c r="L209" s="24" t="s">
        <v>87</v>
      </c>
      <c r="M209" s="24" t="s">
        <v>87</v>
      </c>
    </row>
    <row r="210" spans="1:13" hidden="1">
      <c r="A210" s="24" t="s">
        <v>87</v>
      </c>
      <c r="B210" s="24" t="s">
        <v>87</v>
      </c>
      <c r="C210" s="24" t="s">
        <v>87</v>
      </c>
      <c r="D210" s="79" t="s">
        <v>87</v>
      </c>
      <c r="E210" s="77" t="s">
        <v>87</v>
      </c>
      <c r="F210" s="81" t="s">
        <v>87</v>
      </c>
      <c r="G210" s="84" t="s">
        <v>87</v>
      </c>
      <c r="H210" s="76" t="s">
        <v>87</v>
      </c>
      <c r="I210" s="81" t="s">
        <v>87</v>
      </c>
      <c r="J210" s="24" t="s">
        <v>87</v>
      </c>
      <c r="K210" s="24" t="s">
        <v>87</v>
      </c>
      <c r="L210" s="24" t="s">
        <v>87</v>
      </c>
      <c r="M210" s="24" t="s">
        <v>87</v>
      </c>
    </row>
    <row r="211" spans="1:13" hidden="1">
      <c r="A211" s="24" t="s">
        <v>87</v>
      </c>
      <c r="B211" s="24" t="s">
        <v>87</v>
      </c>
      <c r="C211" s="24" t="s">
        <v>87</v>
      </c>
      <c r="D211" s="79" t="s">
        <v>87</v>
      </c>
      <c r="E211" s="77" t="s">
        <v>87</v>
      </c>
      <c r="F211" s="81" t="s">
        <v>87</v>
      </c>
      <c r="G211" s="84" t="s">
        <v>87</v>
      </c>
      <c r="H211" s="76" t="s">
        <v>87</v>
      </c>
      <c r="I211" s="81" t="s">
        <v>87</v>
      </c>
      <c r="J211" s="24" t="s">
        <v>87</v>
      </c>
      <c r="K211" s="24" t="s">
        <v>87</v>
      </c>
      <c r="L211" s="24" t="s">
        <v>87</v>
      </c>
      <c r="M211" s="24" t="s">
        <v>87</v>
      </c>
    </row>
    <row r="212" spans="1:13" hidden="1">
      <c r="A212" s="24" t="s">
        <v>87</v>
      </c>
      <c r="B212" s="24" t="s">
        <v>87</v>
      </c>
      <c r="C212" s="24" t="s">
        <v>87</v>
      </c>
      <c r="D212" s="79" t="s">
        <v>87</v>
      </c>
      <c r="E212" s="77" t="s">
        <v>87</v>
      </c>
      <c r="F212" s="81" t="s">
        <v>87</v>
      </c>
      <c r="G212" s="84" t="s">
        <v>87</v>
      </c>
      <c r="H212" s="76" t="s">
        <v>87</v>
      </c>
      <c r="I212" s="81" t="s">
        <v>87</v>
      </c>
      <c r="J212" s="24" t="s">
        <v>87</v>
      </c>
      <c r="K212" s="24" t="s">
        <v>87</v>
      </c>
      <c r="L212" s="24" t="s">
        <v>87</v>
      </c>
      <c r="M212" s="24" t="s">
        <v>87</v>
      </c>
    </row>
    <row r="213" spans="1:13" hidden="1">
      <c r="A213" s="24" t="s">
        <v>87</v>
      </c>
      <c r="B213" s="24" t="s">
        <v>87</v>
      </c>
      <c r="C213" s="24" t="s">
        <v>87</v>
      </c>
      <c r="D213" s="79" t="s">
        <v>87</v>
      </c>
      <c r="E213" s="77" t="s">
        <v>87</v>
      </c>
      <c r="F213" s="81" t="s">
        <v>87</v>
      </c>
      <c r="G213" s="84" t="s">
        <v>87</v>
      </c>
      <c r="H213" s="76" t="s">
        <v>87</v>
      </c>
      <c r="I213" s="81" t="s">
        <v>87</v>
      </c>
      <c r="J213" s="24" t="s">
        <v>87</v>
      </c>
      <c r="K213" s="24" t="s">
        <v>87</v>
      </c>
      <c r="L213" s="24" t="s">
        <v>87</v>
      </c>
      <c r="M213" s="24" t="s">
        <v>87</v>
      </c>
    </row>
    <row r="214" spans="1:13" hidden="1">
      <c r="A214" s="24" t="s">
        <v>87</v>
      </c>
      <c r="B214" s="24" t="s">
        <v>87</v>
      </c>
      <c r="C214" s="24" t="s">
        <v>87</v>
      </c>
      <c r="D214" s="79" t="s">
        <v>87</v>
      </c>
      <c r="E214" s="77" t="s">
        <v>87</v>
      </c>
      <c r="F214" s="81" t="s">
        <v>87</v>
      </c>
      <c r="G214" s="84" t="s">
        <v>87</v>
      </c>
      <c r="H214" s="76" t="s">
        <v>87</v>
      </c>
      <c r="I214" s="81" t="s">
        <v>87</v>
      </c>
      <c r="J214" s="24" t="s">
        <v>87</v>
      </c>
      <c r="K214" s="24" t="s">
        <v>87</v>
      </c>
      <c r="L214" s="24" t="s">
        <v>87</v>
      </c>
      <c r="M214" s="24" t="s">
        <v>87</v>
      </c>
    </row>
    <row r="215" spans="1:13" hidden="1">
      <c r="A215" s="24" t="s">
        <v>87</v>
      </c>
      <c r="B215" s="24" t="s">
        <v>87</v>
      </c>
      <c r="C215" s="24" t="s">
        <v>87</v>
      </c>
      <c r="D215" s="79" t="s">
        <v>87</v>
      </c>
      <c r="E215" s="77" t="s">
        <v>87</v>
      </c>
      <c r="F215" s="81" t="s">
        <v>87</v>
      </c>
      <c r="G215" s="84" t="s">
        <v>87</v>
      </c>
      <c r="H215" s="76" t="s">
        <v>87</v>
      </c>
      <c r="I215" s="81" t="s">
        <v>87</v>
      </c>
      <c r="J215" s="24" t="s">
        <v>87</v>
      </c>
      <c r="K215" s="24" t="s">
        <v>87</v>
      </c>
      <c r="L215" s="24" t="s">
        <v>87</v>
      </c>
      <c r="M215" s="24" t="s">
        <v>87</v>
      </c>
    </row>
    <row r="216" spans="1:13" hidden="1">
      <c r="A216" s="24" t="s">
        <v>87</v>
      </c>
      <c r="B216" s="24" t="s">
        <v>87</v>
      </c>
      <c r="C216" s="24" t="s">
        <v>87</v>
      </c>
      <c r="D216" s="79" t="s">
        <v>87</v>
      </c>
      <c r="E216" s="77" t="s">
        <v>87</v>
      </c>
      <c r="F216" s="81" t="s">
        <v>87</v>
      </c>
      <c r="G216" s="84" t="s">
        <v>87</v>
      </c>
      <c r="H216" s="76" t="s">
        <v>87</v>
      </c>
      <c r="I216" s="81" t="s">
        <v>87</v>
      </c>
      <c r="J216" s="24" t="s">
        <v>87</v>
      </c>
      <c r="K216" s="24" t="s">
        <v>87</v>
      </c>
      <c r="L216" s="24" t="s">
        <v>87</v>
      </c>
      <c r="M216" s="24" t="s">
        <v>87</v>
      </c>
    </row>
    <row r="217" spans="1:13" hidden="1">
      <c r="A217" s="24" t="s">
        <v>87</v>
      </c>
      <c r="B217" s="24" t="s">
        <v>87</v>
      </c>
      <c r="C217" s="24" t="s">
        <v>87</v>
      </c>
      <c r="D217" s="79" t="s">
        <v>87</v>
      </c>
      <c r="E217" s="77" t="s">
        <v>87</v>
      </c>
      <c r="F217" s="81" t="s">
        <v>87</v>
      </c>
      <c r="G217" s="84" t="s">
        <v>87</v>
      </c>
      <c r="H217" s="76" t="s">
        <v>87</v>
      </c>
      <c r="I217" s="81" t="s">
        <v>87</v>
      </c>
      <c r="J217" s="24" t="s">
        <v>87</v>
      </c>
      <c r="K217" s="24" t="s">
        <v>87</v>
      </c>
      <c r="L217" s="24" t="s">
        <v>87</v>
      </c>
      <c r="M217" s="24" t="s">
        <v>87</v>
      </c>
    </row>
    <row r="218" spans="1:13" hidden="1">
      <c r="A218" s="24" t="s">
        <v>87</v>
      </c>
      <c r="B218" s="24" t="s">
        <v>87</v>
      </c>
      <c r="C218" s="24" t="s">
        <v>87</v>
      </c>
      <c r="D218" s="79" t="s">
        <v>87</v>
      </c>
      <c r="E218" s="77" t="s">
        <v>87</v>
      </c>
      <c r="F218" s="81" t="s">
        <v>87</v>
      </c>
      <c r="G218" s="84" t="s">
        <v>87</v>
      </c>
      <c r="H218" s="76" t="s">
        <v>87</v>
      </c>
      <c r="I218" s="81" t="s">
        <v>87</v>
      </c>
      <c r="J218" s="24" t="s">
        <v>87</v>
      </c>
      <c r="K218" s="24" t="s">
        <v>87</v>
      </c>
      <c r="L218" s="24" t="s">
        <v>87</v>
      </c>
      <c r="M218" s="24" t="s">
        <v>87</v>
      </c>
    </row>
    <row r="219" spans="1:13" hidden="1">
      <c r="A219" s="24" t="s">
        <v>87</v>
      </c>
      <c r="B219" s="24" t="s">
        <v>87</v>
      </c>
      <c r="C219" s="24" t="s">
        <v>87</v>
      </c>
      <c r="D219" s="79" t="s">
        <v>87</v>
      </c>
      <c r="E219" s="77" t="s">
        <v>87</v>
      </c>
      <c r="F219" s="81" t="s">
        <v>87</v>
      </c>
      <c r="G219" s="84" t="s">
        <v>87</v>
      </c>
      <c r="H219" s="76" t="s">
        <v>87</v>
      </c>
      <c r="I219" s="81" t="s">
        <v>87</v>
      </c>
      <c r="J219" s="24" t="s">
        <v>87</v>
      </c>
      <c r="K219" s="24" t="s">
        <v>87</v>
      </c>
      <c r="L219" s="24" t="s">
        <v>87</v>
      </c>
      <c r="M219" s="24" t="s">
        <v>87</v>
      </c>
    </row>
    <row r="220" spans="1:13" hidden="1">
      <c r="A220" s="24" t="s">
        <v>87</v>
      </c>
      <c r="B220" s="24" t="s">
        <v>87</v>
      </c>
      <c r="C220" s="24" t="s">
        <v>87</v>
      </c>
      <c r="D220" s="79" t="s">
        <v>87</v>
      </c>
      <c r="E220" s="77" t="s">
        <v>87</v>
      </c>
      <c r="F220" s="81" t="s">
        <v>87</v>
      </c>
      <c r="G220" s="84" t="s">
        <v>87</v>
      </c>
      <c r="H220" s="76" t="s">
        <v>87</v>
      </c>
      <c r="I220" s="81" t="s">
        <v>87</v>
      </c>
      <c r="J220" s="24" t="s">
        <v>87</v>
      </c>
      <c r="K220" s="24" t="s">
        <v>87</v>
      </c>
      <c r="L220" s="24" t="s">
        <v>87</v>
      </c>
      <c r="M220" s="24" t="s">
        <v>87</v>
      </c>
    </row>
    <row r="221" spans="1:13" hidden="1">
      <c r="A221" s="24" t="s">
        <v>87</v>
      </c>
      <c r="B221" s="24" t="s">
        <v>87</v>
      </c>
      <c r="C221" s="24" t="s">
        <v>87</v>
      </c>
      <c r="D221" s="79" t="s">
        <v>87</v>
      </c>
      <c r="E221" s="77" t="s">
        <v>87</v>
      </c>
      <c r="F221" s="81" t="s">
        <v>87</v>
      </c>
      <c r="G221" s="84" t="s">
        <v>87</v>
      </c>
      <c r="H221" s="76" t="s">
        <v>87</v>
      </c>
      <c r="I221" s="81" t="s">
        <v>87</v>
      </c>
      <c r="J221" s="24" t="s">
        <v>87</v>
      </c>
      <c r="K221" s="24" t="s">
        <v>87</v>
      </c>
      <c r="L221" s="24" t="s">
        <v>87</v>
      </c>
      <c r="M221" s="24" t="s">
        <v>87</v>
      </c>
    </row>
    <row r="222" spans="1:13" hidden="1">
      <c r="A222" s="24" t="s">
        <v>87</v>
      </c>
      <c r="B222" s="24" t="s">
        <v>87</v>
      </c>
      <c r="C222" s="24" t="s">
        <v>87</v>
      </c>
      <c r="D222" s="79" t="s">
        <v>87</v>
      </c>
      <c r="E222" s="77" t="s">
        <v>87</v>
      </c>
      <c r="F222" s="81" t="s">
        <v>87</v>
      </c>
      <c r="G222" s="84" t="s">
        <v>87</v>
      </c>
      <c r="H222" s="76" t="s">
        <v>87</v>
      </c>
      <c r="I222" s="81" t="s">
        <v>87</v>
      </c>
      <c r="J222" s="24" t="s">
        <v>87</v>
      </c>
      <c r="K222" s="24" t="s">
        <v>87</v>
      </c>
      <c r="L222" s="24" t="s">
        <v>87</v>
      </c>
      <c r="M222" s="24" t="s">
        <v>87</v>
      </c>
    </row>
    <row r="223" spans="1:13" hidden="1">
      <c r="A223" s="24" t="s">
        <v>87</v>
      </c>
      <c r="B223" s="24" t="s">
        <v>87</v>
      </c>
      <c r="C223" s="24" t="s">
        <v>87</v>
      </c>
      <c r="D223" s="79" t="s">
        <v>87</v>
      </c>
      <c r="E223" s="77" t="s">
        <v>87</v>
      </c>
      <c r="F223" s="81" t="s">
        <v>87</v>
      </c>
      <c r="G223" s="84" t="s">
        <v>87</v>
      </c>
      <c r="H223" s="76" t="s">
        <v>87</v>
      </c>
      <c r="I223" s="81" t="s">
        <v>87</v>
      </c>
      <c r="J223" s="24" t="s">
        <v>87</v>
      </c>
      <c r="K223" s="24" t="s">
        <v>87</v>
      </c>
      <c r="L223" s="24" t="s">
        <v>87</v>
      </c>
      <c r="M223" s="24" t="s">
        <v>87</v>
      </c>
    </row>
    <row r="224" spans="1:13" hidden="1">
      <c r="A224" s="24" t="s">
        <v>87</v>
      </c>
      <c r="B224" s="24" t="s">
        <v>87</v>
      </c>
      <c r="C224" s="24" t="s">
        <v>87</v>
      </c>
      <c r="D224" s="79" t="s">
        <v>87</v>
      </c>
      <c r="E224" s="77" t="s">
        <v>87</v>
      </c>
      <c r="F224" s="81" t="s">
        <v>87</v>
      </c>
      <c r="G224" s="84" t="s">
        <v>87</v>
      </c>
      <c r="H224" s="76" t="s">
        <v>87</v>
      </c>
      <c r="I224" s="81" t="s">
        <v>87</v>
      </c>
      <c r="J224" s="24" t="s">
        <v>87</v>
      </c>
      <c r="K224" s="24" t="s">
        <v>87</v>
      </c>
      <c r="L224" s="24" t="s">
        <v>87</v>
      </c>
      <c r="M224" s="24" t="s">
        <v>87</v>
      </c>
    </row>
    <row r="225" spans="1:13" hidden="1">
      <c r="A225" s="24" t="s">
        <v>87</v>
      </c>
      <c r="B225" s="24" t="s">
        <v>87</v>
      </c>
      <c r="C225" s="24" t="s">
        <v>87</v>
      </c>
      <c r="D225" s="79" t="s">
        <v>87</v>
      </c>
      <c r="E225" s="77" t="s">
        <v>87</v>
      </c>
      <c r="F225" s="81" t="s">
        <v>87</v>
      </c>
      <c r="G225" s="84" t="s">
        <v>87</v>
      </c>
      <c r="H225" s="76" t="s">
        <v>87</v>
      </c>
      <c r="I225" s="81" t="s">
        <v>87</v>
      </c>
      <c r="J225" s="24" t="s">
        <v>87</v>
      </c>
      <c r="K225" s="24" t="s">
        <v>87</v>
      </c>
      <c r="L225" s="24" t="s">
        <v>87</v>
      </c>
      <c r="M225" s="24" t="s">
        <v>87</v>
      </c>
    </row>
    <row r="226" spans="1:13" hidden="1">
      <c r="A226" s="24" t="s">
        <v>87</v>
      </c>
      <c r="B226" s="24" t="s">
        <v>87</v>
      </c>
      <c r="C226" s="24" t="s">
        <v>87</v>
      </c>
      <c r="D226" s="79" t="s">
        <v>87</v>
      </c>
      <c r="E226" s="77" t="s">
        <v>87</v>
      </c>
      <c r="F226" s="81" t="s">
        <v>87</v>
      </c>
      <c r="G226" s="84" t="s">
        <v>87</v>
      </c>
      <c r="H226" s="76" t="s">
        <v>87</v>
      </c>
      <c r="I226" s="81" t="s">
        <v>87</v>
      </c>
      <c r="J226" s="24" t="s">
        <v>87</v>
      </c>
      <c r="K226" s="24" t="s">
        <v>87</v>
      </c>
      <c r="L226" s="24" t="s">
        <v>87</v>
      </c>
      <c r="M226" s="24" t="s">
        <v>87</v>
      </c>
    </row>
    <row r="227" spans="1:13" hidden="1">
      <c r="A227" s="24" t="s">
        <v>87</v>
      </c>
      <c r="B227" s="24" t="s">
        <v>87</v>
      </c>
      <c r="C227" s="24" t="s">
        <v>87</v>
      </c>
      <c r="D227" s="79" t="s">
        <v>87</v>
      </c>
      <c r="E227" s="77" t="s">
        <v>87</v>
      </c>
      <c r="F227" s="81" t="s">
        <v>87</v>
      </c>
      <c r="G227" s="84" t="s">
        <v>87</v>
      </c>
      <c r="H227" s="76" t="s">
        <v>87</v>
      </c>
      <c r="I227" s="81" t="s">
        <v>87</v>
      </c>
      <c r="J227" s="24" t="s">
        <v>87</v>
      </c>
      <c r="K227" s="24" t="s">
        <v>87</v>
      </c>
      <c r="L227" s="24" t="s">
        <v>87</v>
      </c>
      <c r="M227" s="24" t="s">
        <v>87</v>
      </c>
    </row>
    <row r="228" spans="1:13" hidden="1">
      <c r="A228" s="24" t="s">
        <v>87</v>
      </c>
      <c r="B228" s="24" t="s">
        <v>87</v>
      </c>
      <c r="C228" s="24" t="s">
        <v>87</v>
      </c>
      <c r="D228" s="79" t="s">
        <v>87</v>
      </c>
      <c r="E228" s="77" t="s">
        <v>87</v>
      </c>
      <c r="F228" s="81" t="s">
        <v>87</v>
      </c>
      <c r="G228" s="84" t="s">
        <v>87</v>
      </c>
      <c r="H228" s="76" t="s">
        <v>87</v>
      </c>
      <c r="I228" s="81" t="s">
        <v>87</v>
      </c>
      <c r="J228" s="24" t="s">
        <v>87</v>
      </c>
      <c r="K228" s="24" t="s">
        <v>87</v>
      </c>
      <c r="L228" s="24" t="s">
        <v>87</v>
      </c>
      <c r="M228" s="24" t="s">
        <v>87</v>
      </c>
    </row>
    <row r="229" spans="1:13" hidden="1">
      <c r="A229" s="24" t="s">
        <v>87</v>
      </c>
      <c r="B229" s="24" t="s">
        <v>87</v>
      </c>
      <c r="C229" s="24" t="s">
        <v>87</v>
      </c>
      <c r="D229" s="79" t="s">
        <v>87</v>
      </c>
      <c r="E229" s="77" t="s">
        <v>87</v>
      </c>
      <c r="F229" s="81" t="s">
        <v>87</v>
      </c>
      <c r="G229" s="84" t="s">
        <v>87</v>
      </c>
      <c r="H229" s="76" t="s">
        <v>87</v>
      </c>
      <c r="I229" s="81" t="s">
        <v>87</v>
      </c>
      <c r="J229" s="24" t="s">
        <v>87</v>
      </c>
      <c r="K229" s="24" t="s">
        <v>87</v>
      </c>
      <c r="L229" s="24" t="s">
        <v>87</v>
      </c>
      <c r="M229" s="24" t="s">
        <v>87</v>
      </c>
    </row>
    <row r="230" spans="1:13" hidden="1">
      <c r="A230" s="24" t="s">
        <v>87</v>
      </c>
      <c r="B230" s="24" t="s">
        <v>87</v>
      </c>
      <c r="C230" s="24" t="s">
        <v>87</v>
      </c>
      <c r="D230" s="79" t="s">
        <v>87</v>
      </c>
      <c r="E230" s="77" t="s">
        <v>87</v>
      </c>
      <c r="F230" s="81" t="s">
        <v>87</v>
      </c>
      <c r="G230" s="84" t="s">
        <v>87</v>
      </c>
      <c r="H230" s="76" t="s">
        <v>87</v>
      </c>
      <c r="I230" s="81" t="s">
        <v>87</v>
      </c>
      <c r="J230" s="24" t="s">
        <v>87</v>
      </c>
      <c r="K230" s="24" t="s">
        <v>87</v>
      </c>
      <c r="L230" s="24" t="s">
        <v>87</v>
      </c>
      <c r="M230" s="24" t="s">
        <v>87</v>
      </c>
    </row>
    <row r="231" spans="1:13" hidden="1">
      <c r="A231" s="24" t="s">
        <v>87</v>
      </c>
      <c r="B231" s="24" t="s">
        <v>87</v>
      </c>
      <c r="C231" s="24" t="s">
        <v>87</v>
      </c>
      <c r="D231" s="79" t="s">
        <v>87</v>
      </c>
      <c r="E231" s="77" t="s">
        <v>87</v>
      </c>
      <c r="F231" s="81" t="s">
        <v>87</v>
      </c>
      <c r="G231" s="84" t="s">
        <v>87</v>
      </c>
      <c r="H231" s="76" t="s">
        <v>87</v>
      </c>
      <c r="I231" s="81" t="s">
        <v>87</v>
      </c>
      <c r="J231" s="24" t="s">
        <v>87</v>
      </c>
      <c r="K231" s="24" t="s">
        <v>87</v>
      </c>
      <c r="L231" s="24" t="s">
        <v>87</v>
      </c>
      <c r="M231" s="24" t="s">
        <v>87</v>
      </c>
    </row>
    <row r="232" spans="1:13" hidden="1">
      <c r="A232" s="24" t="s">
        <v>87</v>
      </c>
      <c r="B232" s="24" t="s">
        <v>87</v>
      </c>
      <c r="C232" s="24" t="s">
        <v>87</v>
      </c>
      <c r="D232" s="79" t="s">
        <v>87</v>
      </c>
      <c r="E232" s="77" t="s">
        <v>87</v>
      </c>
      <c r="F232" s="81" t="s">
        <v>87</v>
      </c>
      <c r="G232" s="84" t="s">
        <v>87</v>
      </c>
      <c r="H232" s="76" t="s">
        <v>87</v>
      </c>
      <c r="I232" s="81" t="s">
        <v>87</v>
      </c>
      <c r="J232" s="24" t="s">
        <v>87</v>
      </c>
      <c r="K232" s="24" t="s">
        <v>87</v>
      </c>
      <c r="L232" s="24" t="s">
        <v>87</v>
      </c>
      <c r="M232" s="24" t="s">
        <v>87</v>
      </c>
    </row>
    <row r="233" spans="1:13" hidden="1">
      <c r="A233" s="24" t="s">
        <v>87</v>
      </c>
      <c r="B233" s="24" t="s">
        <v>87</v>
      </c>
      <c r="C233" s="24" t="s">
        <v>87</v>
      </c>
      <c r="D233" s="79" t="s">
        <v>87</v>
      </c>
      <c r="E233" s="77" t="s">
        <v>87</v>
      </c>
      <c r="F233" s="81" t="s">
        <v>87</v>
      </c>
      <c r="G233" s="84" t="s">
        <v>87</v>
      </c>
      <c r="H233" s="76" t="s">
        <v>87</v>
      </c>
      <c r="I233" s="81" t="s">
        <v>87</v>
      </c>
      <c r="J233" s="24" t="s">
        <v>87</v>
      </c>
      <c r="K233" s="24" t="s">
        <v>87</v>
      </c>
      <c r="L233" s="24" t="s">
        <v>87</v>
      </c>
      <c r="M233" s="24" t="s">
        <v>87</v>
      </c>
    </row>
    <row r="234" spans="1:13" hidden="1">
      <c r="A234" s="24" t="s">
        <v>87</v>
      </c>
      <c r="B234" s="24" t="s">
        <v>87</v>
      </c>
      <c r="C234" s="24" t="s">
        <v>87</v>
      </c>
      <c r="D234" s="79" t="s">
        <v>87</v>
      </c>
      <c r="E234" s="77" t="s">
        <v>87</v>
      </c>
      <c r="F234" s="81" t="s">
        <v>87</v>
      </c>
      <c r="G234" s="84" t="s">
        <v>87</v>
      </c>
      <c r="H234" s="76" t="s">
        <v>87</v>
      </c>
      <c r="I234" s="81" t="s">
        <v>87</v>
      </c>
      <c r="J234" s="24" t="s">
        <v>87</v>
      </c>
      <c r="K234" s="24" t="s">
        <v>87</v>
      </c>
      <c r="L234" s="24" t="s">
        <v>87</v>
      </c>
      <c r="M234" s="24" t="s">
        <v>87</v>
      </c>
    </row>
    <row r="235" spans="1:13" hidden="1">
      <c r="A235" s="24" t="s">
        <v>87</v>
      </c>
      <c r="B235" s="24" t="s">
        <v>87</v>
      </c>
      <c r="C235" s="24" t="s">
        <v>87</v>
      </c>
      <c r="D235" s="79" t="s">
        <v>87</v>
      </c>
      <c r="E235" s="77" t="s">
        <v>87</v>
      </c>
      <c r="F235" s="81" t="s">
        <v>87</v>
      </c>
      <c r="G235" s="84" t="s">
        <v>87</v>
      </c>
      <c r="H235" s="76" t="s">
        <v>87</v>
      </c>
      <c r="I235" s="81" t="s">
        <v>87</v>
      </c>
      <c r="J235" s="24" t="s">
        <v>87</v>
      </c>
      <c r="K235" s="24" t="s">
        <v>87</v>
      </c>
      <c r="L235" s="24" t="s">
        <v>87</v>
      </c>
      <c r="M235" s="24" t="s">
        <v>87</v>
      </c>
    </row>
    <row r="236" spans="1:13" hidden="1">
      <c r="A236" s="24" t="s">
        <v>87</v>
      </c>
      <c r="B236" s="24" t="s">
        <v>87</v>
      </c>
      <c r="C236" s="24" t="s">
        <v>87</v>
      </c>
      <c r="D236" s="79" t="s">
        <v>87</v>
      </c>
      <c r="E236" s="77" t="s">
        <v>87</v>
      </c>
      <c r="F236" s="81" t="s">
        <v>87</v>
      </c>
      <c r="G236" s="84" t="s">
        <v>87</v>
      </c>
      <c r="H236" s="76" t="s">
        <v>87</v>
      </c>
      <c r="I236" s="81" t="s">
        <v>87</v>
      </c>
      <c r="J236" s="24" t="s">
        <v>87</v>
      </c>
      <c r="K236" s="24" t="s">
        <v>87</v>
      </c>
      <c r="L236" s="24" t="s">
        <v>87</v>
      </c>
      <c r="M236" s="24" t="s">
        <v>87</v>
      </c>
    </row>
    <row r="237" spans="1:13" hidden="1">
      <c r="A237" s="24" t="s">
        <v>87</v>
      </c>
      <c r="B237" s="24" t="s">
        <v>87</v>
      </c>
      <c r="C237" s="24" t="s">
        <v>87</v>
      </c>
      <c r="D237" s="79" t="s">
        <v>87</v>
      </c>
      <c r="E237" s="77" t="s">
        <v>87</v>
      </c>
      <c r="F237" s="81" t="s">
        <v>87</v>
      </c>
      <c r="G237" s="84" t="s">
        <v>87</v>
      </c>
      <c r="H237" s="76" t="s">
        <v>87</v>
      </c>
      <c r="I237" s="81" t="s">
        <v>87</v>
      </c>
      <c r="J237" s="24" t="s">
        <v>87</v>
      </c>
      <c r="K237" s="24" t="s">
        <v>87</v>
      </c>
      <c r="L237" s="24" t="s">
        <v>87</v>
      </c>
      <c r="M237" s="24" t="s">
        <v>87</v>
      </c>
    </row>
    <row r="238" spans="1:13" hidden="1">
      <c r="A238" s="24" t="s">
        <v>87</v>
      </c>
      <c r="B238" s="24" t="s">
        <v>87</v>
      </c>
      <c r="C238" s="24" t="s">
        <v>87</v>
      </c>
      <c r="D238" s="79" t="s">
        <v>87</v>
      </c>
      <c r="E238" s="77" t="s">
        <v>87</v>
      </c>
      <c r="F238" s="81" t="s">
        <v>87</v>
      </c>
      <c r="G238" s="84" t="s">
        <v>87</v>
      </c>
      <c r="H238" s="76" t="s">
        <v>87</v>
      </c>
      <c r="I238" s="81" t="s">
        <v>87</v>
      </c>
      <c r="J238" s="24" t="s">
        <v>87</v>
      </c>
      <c r="K238" s="24" t="s">
        <v>87</v>
      </c>
      <c r="L238" s="24" t="s">
        <v>87</v>
      </c>
      <c r="M238" s="24" t="s">
        <v>87</v>
      </c>
    </row>
    <row r="239" spans="1:13" hidden="1">
      <c r="A239" s="24" t="s">
        <v>87</v>
      </c>
      <c r="B239" s="24" t="s">
        <v>87</v>
      </c>
      <c r="C239" s="24" t="s">
        <v>87</v>
      </c>
      <c r="D239" s="79" t="s">
        <v>87</v>
      </c>
      <c r="E239" s="77" t="s">
        <v>87</v>
      </c>
      <c r="F239" s="81" t="s">
        <v>87</v>
      </c>
      <c r="G239" s="84" t="s">
        <v>87</v>
      </c>
      <c r="H239" s="76" t="s">
        <v>87</v>
      </c>
      <c r="I239" s="81" t="s">
        <v>87</v>
      </c>
      <c r="J239" s="24" t="s">
        <v>87</v>
      </c>
      <c r="K239" s="24" t="s">
        <v>87</v>
      </c>
      <c r="L239" s="24" t="s">
        <v>87</v>
      </c>
      <c r="M239" s="24" t="s">
        <v>87</v>
      </c>
    </row>
    <row r="240" spans="1:13" hidden="1">
      <c r="A240" s="24" t="s">
        <v>87</v>
      </c>
      <c r="B240" s="24" t="s">
        <v>87</v>
      </c>
      <c r="C240" s="24" t="s">
        <v>87</v>
      </c>
      <c r="D240" s="79" t="s">
        <v>87</v>
      </c>
      <c r="E240" s="77" t="s">
        <v>87</v>
      </c>
      <c r="F240" s="81" t="s">
        <v>87</v>
      </c>
      <c r="G240" s="84" t="s">
        <v>87</v>
      </c>
      <c r="H240" s="76" t="s">
        <v>87</v>
      </c>
      <c r="I240" s="81" t="s">
        <v>87</v>
      </c>
      <c r="J240" s="24" t="s">
        <v>87</v>
      </c>
      <c r="K240" s="24" t="s">
        <v>87</v>
      </c>
      <c r="L240" s="24" t="s">
        <v>87</v>
      </c>
      <c r="M240" s="24" t="s">
        <v>87</v>
      </c>
    </row>
    <row r="241" spans="1:13" hidden="1">
      <c r="A241" s="24" t="s">
        <v>87</v>
      </c>
      <c r="B241" s="24" t="s">
        <v>87</v>
      </c>
      <c r="C241" s="24" t="s">
        <v>87</v>
      </c>
      <c r="D241" s="79" t="s">
        <v>87</v>
      </c>
      <c r="E241" s="77" t="s">
        <v>87</v>
      </c>
      <c r="F241" s="81" t="s">
        <v>87</v>
      </c>
      <c r="G241" s="84" t="s">
        <v>87</v>
      </c>
      <c r="H241" s="76" t="s">
        <v>87</v>
      </c>
      <c r="I241" s="81" t="s">
        <v>87</v>
      </c>
      <c r="J241" s="24" t="s">
        <v>87</v>
      </c>
      <c r="K241" s="24" t="s">
        <v>87</v>
      </c>
      <c r="L241" s="24" t="s">
        <v>87</v>
      </c>
      <c r="M241" s="24" t="s">
        <v>87</v>
      </c>
    </row>
    <row r="242" spans="1:13" hidden="1">
      <c r="A242" s="24" t="s">
        <v>87</v>
      </c>
      <c r="B242" s="24" t="s">
        <v>87</v>
      </c>
      <c r="C242" s="24" t="s">
        <v>87</v>
      </c>
      <c r="D242" s="79" t="s">
        <v>87</v>
      </c>
      <c r="E242" s="77" t="s">
        <v>87</v>
      </c>
      <c r="F242" s="81" t="s">
        <v>87</v>
      </c>
      <c r="G242" s="84" t="s">
        <v>87</v>
      </c>
      <c r="H242" s="76" t="s">
        <v>87</v>
      </c>
      <c r="I242" s="81" t="s">
        <v>87</v>
      </c>
      <c r="J242" s="24" t="s">
        <v>87</v>
      </c>
      <c r="K242" s="24" t="s">
        <v>87</v>
      </c>
      <c r="L242" s="24" t="s">
        <v>87</v>
      </c>
      <c r="M242" s="24" t="s">
        <v>87</v>
      </c>
    </row>
    <row r="243" spans="1:13" hidden="1">
      <c r="A243" s="24" t="s">
        <v>87</v>
      </c>
      <c r="B243" s="24" t="s">
        <v>87</v>
      </c>
      <c r="C243" s="24" t="s">
        <v>87</v>
      </c>
      <c r="D243" s="79" t="s">
        <v>87</v>
      </c>
      <c r="E243" s="77" t="s">
        <v>87</v>
      </c>
      <c r="F243" s="81" t="s">
        <v>87</v>
      </c>
      <c r="G243" s="84" t="s">
        <v>87</v>
      </c>
      <c r="H243" s="76" t="s">
        <v>87</v>
      </c>
      <c r="I243" s="81" t="s">
        <v>87</v>
      </c>
      <c r="J243" s="24" t="s">
        <v>87</v>
      </c>
      <c r="K243" s="24" t="s">
        <v>87</v>
      </c>
      <c r="L243" s="24" t="s">
        <v>87</v>
      </c>
      <c r="M243" s="24" t="s">
        <v>87</v>
      </c>
    </row>
    <row r="244" spans="1:13" hidden="1">
      <c r="A244" s="24" t="s">
        <v>87</v>
      </c>
      <c r="B244" s="24" t="s">
        <v>87</v>
      </c>
      <c r="C244" s="24" t="s">
        <v>87</v>
      </c>
      <c r="D244" s="79" t="s">
        <v>87</v>
      </c>
      <c r="E244" s="77" t="s">
        <v>87</v>
      </c>
      <c r="F244" s="81" t="s">
        <v>87</v>
      </c>
      <c r="G244" s="84" t="s">
        <v>87</v>
      </c>
      <c r="H244" s="76" t="s">
        <v>87</v>
      </c>
      <c r="I244" s="81" t="s">
        <v>87</v>
      </c>
      <c r="J244" s="24" t="s">
        <v>87</v>
      </c>
      <c r="K244" s="24" t="s">
        <v>87</v>
      </c>
      <c r="L244" s="24" t="s">
        <v>87</v>
      </c>
      <c r="M244" s="24" t="s">
        <v>87</v>
      </c>
    </row>
    <row r="245" spans="1:13" hidden="1">
      <c r="A245" s="24" t="s">
        <v>87</v>
      </c>
      <c r="B245" s="24" t="s">
        <v>87</v>
      </c>
      <c r="C245" s="24" t="s">
        <v>87</v>
      </c>
      <c r="D245" s="79" t="s">
        <v>87</v>
      </c>
      <c r="E245" s="77" t="s">
        <v>87</v>
      </c>
      <c r="F245" s="81" t="s">
        <v>87</v>
      </c>
      <c r="G245" s="84" t="s">
        <v>87</v>
      </c>
      <c r="H245" s="76" t="s">
        <v>87</v>
      </c>
      <c r="I245" s="81" t="s">
        <v>87</v>
      </c>
      <c r="J245" s="24" t="s">
        <v>87</v>
      </c>
      <c r="K245" s="24" t="s">
        <v>87</v>
      </c>
      <c r="L245" s="24" t="s">
        <v>87</v>
      </c>
      <c r="M245" s="24" t="s">
        <v>87</v>
      </c>
    </row>
    <row r="246" spans="1:13" hidden="1">
      <c r="A246" s="24" t="s">
        <v>87</v>
      </c>
      <c r="B246" s="24" t="s">
        <v>87</v>
      </c>
      <c r="C246" s="24" t="s">
        <v>87</v>
      </c>
      <c r="D246" s="79" t="s">
        <v>87</v>
      </c>
      <c r="E246" s="77" t="s">
        <v>87</v>
      </c>
      <c r="F246" s="81" t="s">
        <v>87</v>
      </c>
      <c r="G246" s="84" t="s">
        <v>87</v>
      </c>
      <c r="H246" s="76" t="s">
        <v>87</v>
      </c>
      <c r="I246" s="81" t="s">
        <v>87</v>
      </c>
      <c r="J246" s="24" t="s">
        <v>87</v>
      </c>
      <c r="K246" s="24" t="s">
        <v>87</v>
      </c>
      <c r="L246" s="24" t="s">
        <v>87</v>
      </c>
      <c r="M246" s="24" t="s">
        <v>87</v>
      </c>
    </row>
  </sheetData>
  <autoFilter ref="A1:M246" xr:uid="{0AEDBB6B-BD16-4B33-8CC1-8281D4967915}">
    <filterColumn colId="3">
      <filters>
        <dateGroupItem year="2022" dateTimeGrouping="year"/>
      </filters>
    </filterColumn>
    <sortState xmlns:xlrd2="http://schemas.microsoft.com/office/spreadsheetml/2017/richdata2" ref="A2:M188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F13"/>
  <sheetViews>
    <sheetView workbookViewId="0">
      <pane ySplit="1" topLeftCell="A2" activePane="bottomLeft" state="frozen"/>
      <selection pane="bottomLeft"/>
    </sheetView>
  </sheetViews>
  <sheetFormatPr defaultColWidth="0" defaultRowHeight="15"/>
  <cols>
    <col min="1" max="1" width="24.28515625" bestFit="1" customWidth="1"/>
    <col min="2" max="2" width="14.140625" bestFit="1" customWidth="1"/>
    <col min="3" max="3" width="13.5703125" customWidth="1"/>
    <col min="4" max="4" width="15.140625" bestFit="1" customWidth="1"/>
    <col min="5" max="5" width="16.85546875" style="23" bestFit="1" customWidth="1"/>
    <col min="6" max="6" width="17.42578125" style="23" bestFit="1" customWidth="1"/>
    <col min="7" max="7" width="15.85546875" customWidth="1"/>
    <col min="8" max="16384" width="9.140625" hidden="1"/>
  </cols>
  <sheetData>
    <row r="1" spans="1:6" ht="15.75" thickBot="1">
      <c r="A1" s="21" t="s">
        <v>5</v>
      </c>
      <c r="B1" s="22" t="s">
        <v>103</v>
      </c>
      <c r="C1" s="22" t="s">
        <v>11</v>
      </c>
      <c r="D1" s="22" t="s">
        <v>25</v>
      </c>
      <c r="E1" s="68" t="s">
        <v>101</v>
      </c>
      <c r="F1" s="68" t="s">
        <v>102</v>
      </c>
    </row>
    <row r="2" spans="1:6">
      <c r="A2" s="133" t="s">
        <v>26</v>
      </c>
      <c r="B2" s="69" t="s">
        <v>105</v>
      </c>
      <c r="C2" s="146">
        <v>45046</v>
      </c>
      <c r="D2" s="144">
        <v>32</v>
      </c>
      <c r="E2" s="23">
        <f t="shared" ref="E2" si="0">MONTH(C2)</f>
        <v>4</v>
      </c>
      <c r="F2" s="23">
        <f t="shared" ref="F2" si="1">YEAR(C2)</f>
        <v>2023</v>
      </c>
    </row>
    <row r="3" spans="1:6">
      <c r="A3" s="133" t="s">
        <v>26</v>
      </c>
      <c r="B3" s="69" t="s">
        <v>105</v>
      </c>
      <c r="C3" s="146">
        <v>45046</v>
      </c>
      <c r="D3" s="144">
        <v>32</v>
      </c>
      <c r="E3" s="23">
        <f t="shared" ref="E3" si="2">MONTH(C3)</f>
        <v>4</v>
      </c>
      <c r="F3" s="23">
        <f t="shared" ref="F3" si="3">YEAR(C3)</f>
        <v>2023</v>
      </c>
    </row>
    <row r="4" spans="1:6">
      <c r="A4" s="133" t="s">
        <v>26</v>
      </c>
      <c r="B4" s="69" t="s">
        <v>105</v>
      </c>
      <c r="C4" s="146">
        <v>45046</v>
      </c>
      <c r="D4" s="144">
        <v>32</v>
      </c>
      <c r="E4" s="23">
        <f t="shared" ref="E4" si="4">MONTH(C4)</f>
        <v>4</v>
      </c>
      <c r="F4" s="23">
        <f t="shared" ref="F4" si="5">YEAR(C4)</f>
        <v>2023</v>
      </c>
    </row>
    <row r="5" spans="1:6">
      <c r="A5" s="133" t="s">
        <v>69</v>
      </c>
      <c r="B5" s="69" t="s">
        <v>98</v>
      </c>
      <c r="C5" s="146">
        <v>45387</v>
      </c>
      <c r="D5" s="144">
        <v>1570.8000000000002</v>
      </c>
      <c r="E5" s="23">
        <f t="shared" ref="E5" si="6">MONTH(C5)</f>
        <v>4</v>
      </c>
      <c r="F5" s="23">
        <f t="shared" ref="F5" si="7">YEAR(C5)</f>
        <v>2024</v>
      </c>
    </row>
    <row r="6" spans="1:6">
      <c r="A6" s="133" t="s">
        <v>69</v>
      </c>
      <c r="B6" s="69" t="s">
        <v>98</v>
      </c>
      <c r="C6" s="77">
        <v>45387</v>
      </c>
      <c r="D6" s="24">
        <v>1570.8000000000002</v>
      </c>
      <c r="E6" s="23">
        <f t="shared" ref="E6:E13" si="8">MONTH(C6)</f>
        <v>4</v>
      </c>
      <c r="F6" s="23">
        <f t="shared" ref="F6:F13" si="9">YEAR(C6)</f>
        <v>2024</v>
      </c>
    </row>
    <row r="7" spans="1:6">
      <c r="A7" s="133" t="s">
        <v>69</v>
      </c>
      <c r="B7" s="69" t="s">
        <v>98</v>
      </c>
      <c r="C7" s="77">
        <v>44990</v>
      </c>
      <c r="D7" s="24">
        <v>1570.8000000000002</v>
      </c>
      <c r="E7" s="23">
        <f t="shared" si="8"/>
        <v>3</v>
      </c>
      <c r="F7" s="23">
        <f t="shared" si="9"/>
        <v>2023</v>
      </c>
    </row>
    <row r="8" spans="1:6">
      <c r="A8" s="133" t="s">
        <v>32</v>
      </c>
      <c r="B8" s="69" t="s">
        <v>98</v>
      </c>
      <c r="C8" s="77">
        <v>45181</v>
      </c>
      <c r="D8" s="24">
        <v>999.59999999999991</v>
      </c>
      <c r="E8" s="23">
        <f t="shared" si="8"/>
        <v>9</v>
      </c>
      <c r="F8" s="23">
        <f t="shared" si="9"/>
        <v>2023</v>
      </c>
    </row>
    <row r="9" spans="1:6">
      <c r="A9" s="133" t="s">
        <v>35</v>
      </c>
      <c r="B9" s="69" t="s">
        <v>98</v>
      </c>
      <c r="C9" s="77">
        <v>45119</v>
      </c>
      <c r="D9" s="24">
        <v>142.80000000000001</v>
      </c>
      <c r="E9" s="23">
        <f t="shared" si="8"/>
        <v>7</v>
      </c>
      <c r="F9" s="23">
        <f t="shared" si="9"/>
        <v>2023</v>
      </c>
    </row>
    <row r="10" spans="1:6">
      <c r="A10" s="133" t="s">
        <v>35</v>
      </c>
      <c r="B10" s="69" t="s">
        <v>98</v>
      </c>
      <c r="C10" s="77">
        <v>45037</v>
      </c>
      <c r="D10" s="24">
        <v>142.80000000000001</v>
      </c>
      <c r="E10" s="23">
        <f t="shared" si="8"/>
        <v>4</v>
      </c>
      <c r="F10" s="23">
        <f t="shared" si="9"/>
        <v>2023</v>
      </c>
    </row>
    <row r="11" spans="1:6">
      <c r="A11" s="133" t="s">
        <v>28</v>
      </c>
      <c r="B11" s="69"/>
      <c r="C11" s="77">
        <v>45037</v>
      </c>
      <c r="D11" s="24">
        <v>428.4</v>
      </c>
      <c r="E11" s="23">
        <f t="shared" si="8"/>
        <v>4</v>
      </c>
      <c r="F11" s="23">
        <f t="shared" si="9"/>
        <v>2023</v>
      </c>
    </row>
    <row r="12" spans="1:6">
      <c r="A12" s="25" t="s">
        <v>26</v>
      </c>
      <c r="B12" s="26"/>
      <c r="C12" s="9">
        <v>44938</v>
      </c>
      <c r="D12" s="20">
        <v>35</v>
      </c>
      <c r="E12" s="23">
        <f t="shared" si="8"/>
        <v>1</v>
      </c>
      <c r="F12" s="23">
        <f t="shared" si="9"/>
        <v>2023</v>
      </c>
    </row>
    <row r="13" spans="1:6">
      <c r="A13" s="25" t="s">
        <v>26</v>
      </c>
      <c r="B13" s="26"/>
      <c r="C13" s="9">
        <v>44938</v>
      </c>
      <c r="D13" s="20">
        <v>53</v>
      </c>
      <c r="E13" s="23">
        <f t="shared" si="8"/>
        <v>1</v>
      </c>
      <c r="F13" s="23">
        <f t="shared" si="9"/>
        <v>2023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workbookViewId="0">
      <pane xSplit="17" ySplit="2" topLeftCell="XEU3" activePane="bottomRight" state="frozen"/>
      <selection pane="topRight" activeCell="R1" sqref="R1"/>
      <selection pane="bottomLeft" activeCell="A3" sqref="A3"/>
      <selection pane="bottomRight" activeCell="K7" sqref="K7"/>
    </sheetView>
  </sheetViews>
  <sheetFormatPr defaultColWidth="0" defaultRowHeight="15"/>
  <cols>
    <col min="1" max="1" width="3.140625" style="8" customWidth="1"/>
    <col min="2" max="2" width="2.7109375" style="8" customWidth="1"/>
    <col min="3" max="3" width="10.7109375" style="92" bestFit="1" customWidth="1"/>
    <col min="4" max="4" width="14" style="93" bestFit="1" customWidth="1"/>
    <col min="5" max="5" width="2.7109375" style="8" customWidth="1"/>
    <col min="6" max="6" width="5.5703125" style="8" customWidth="1"/>
    <col min="7" max="7" width="14.5703125" style="49" customWidth="1"/>
    <col min="8" max="8" width="9.42578125" style="88" bestFit="1" customWidth="1"/>
    <col min="9" max="9" width="14" style="49" bestFit="1" customWidth="1"/>
    <col min="10" max="10" width="2.7109375" style="91" customWidth="1"/>
    <col min="11" max="11" width="25" style="48" bestFit="1" customWidth="1"/>
    <col min="12" max="12" width="13.85546875" style="48" customWidth="1"/>
    <col min="13" max="13" width="16.7109375" style="48" customWidth="1"/>
    <col min="14" max="14" width="10.85546875" style="48" bestFit="1" customWidth="1"/>
    <col min="15" max="15" width="9.7109375" style="48" bestFit="1" customWidth="1"/>
    <col min="16" max="16" width="16.42578125" style="23" bestFit="1" customWidth="1"/>
    <col min="17" max="17" width="3" style="92" customWidth="1"/>
    <col min="18" max="18" width="10.85546875" hidden="1"/>
    <col min="19" max="19" width="15.85546875" hidden="1"/>
    <col min="20" max="20" width="22" hidden="1"/>
    <col min="21" max="21" width="22.28515625" hidden="1"/>
    <col min="22" max="22" width="23.7109375" hidden="1"/>
    <col min="23" max="16384" width="9.140625" hidden="1"/>
  </cols>
  <sheetData>
    <row r="1" spans="7:17" ht="66.75" customHeight="1">
      <c r="G1" s="91"/>
      <c r="H1" s="94"/>
      <c r="I1" s="91"/>
      <c r="K1" s="95"/>
      <c r="L1" s="95"/>
      <c r="M1" s="95"/>
      <c r="N1" s="95"/>
      <c r="O1" s="95"/>
      <c r="P1" s="92"/>
    </row>
    <row r="2" spans="7:17">
      <c r="G2" s="85" t="s">
        <v>92</v>
      </c>
      <c r="H2" s="86" t="s">
        <v>93</v>
      </c>
      <c r="I2" t="s">
        <v>91</v>
      </c>
      <c r="K2" s="85" t="s">
        <v>5</v>
      </c>
      <c r="L2" s="85" t="s">
        <v>6</v>
      </c>
      <c r="M2" s="86" t="s">
        <v>94</v>
      </c>
      <c r="N2" s="86" t="s">
        <v>95</v>
      </c>
      <c r="O2" s="86" t="s">
        <v>92</v>
      </c>
      <c r="P2" s="23" t="s">
        <v>96</v>
      </c>
    </row>
    <row r="3" spans="7:17">
      <c r="G3">
        <v>2022</v>
      </c>
      <c r="H3" s="23">
        <v>3</v>
      </c>
      <c r="I3" s="87">
        <v>2038.0833333333333</v>
      </c>
      <c r="K3" t="s">
        <v>34</v>
      </c>
      <c r="L3" t="s">
        <v>85</v>
      </c>
      <c r="M3">
        <v>1</v>
      </c>
      <c r="N3">
        <v>3</v>
      </c>
      <c r="O3">
        <v>2022</v>
      </c>
      <c r="P3" s="89">
        <v>766.66666666666663</v>
      </c>
    </row>
    <row r="4" spans="7:17">
      <c r="G4">
        <v>2022</v>
      </c>
      <c r="H4" s="23">
        <v>4</v>
      </c>
      <c r="I4" s="87">
        <v>2038.0833333333333</v>
      </c>
      <c r="K4"/>
      <c r="L4"/>
      <c r="M4"/>
      <c r="N4"/>
      <c r="O4"/>
      <c r="P4" s="89"/>
    </row>
    <row r="5" spans="7:17">
      <c r="G5">
        <v>2022</v>
      </c>
      <c r="H5" s="23">
        <v>5</v>
      </c>
      <c r="I5" s="87">
        <v>2038.0833333333333</v>
      </c>
      <c r="K5" t="s">
        <v>34</v>
      </c>
      <c r="L5" t="s">
        <v>85</v>
      </c>
      <c r="M5">
        <v>2</v>
      </c>
      <c r="N5">
        <v>4</v>
      </c>
      <c r="O5">
        <v>2022</v>
      </c>
      <c r="P5" s="89">
        <v>766.66666666666663</v>
      </c>
    </row>
    <row r="6" spans="7:17">
      <c r="G6">
        <v>2022</v>
      </c>
      <c r="H6" s="23">
        <v>6</v>
      </c>
      <c r="I6" s="87">
        <v>1704.75</v>
      </c>
      <c r="K6"/>
      <c r="L6"/>
      <c r="M6"/>
      <c r="N6"/>
      <c r="O6"/>
      <c r="P6" s="89"/>
    </row>
    <row r="7" spans="7:17">
      <c r="G7">
        <v>2022</v>
      </c>
      <c r="H7" s="23">
        <v>7</v>
      </c>
      <c r="I7" s="87">
        <v>1454.75</v>
      </c>
      <c r="K7" t="s">
        <v>34</v>
      </c>
      <c r="L7" t="s">
        <v>85</v>
      </c>
      <c r="M7">
        <v>3</v>
      </c>
      <c r="N7">
        <v>5</v>
      </c>
      <c r="O7">
        <v>2022</v>
      </c>
      <c r="P7" s="89">
        <v>766.66666666666663</v>
      </c>
      <c r="Q7" s="8"/>
    </row>
    <row r="8" spans="7:17">
      <c r="G8">
        <v>2022</v>
      </c>
      <c r="H8" s="23">
        <v>8</v>
      </c>
      <c r="I8" s="87">
        <v>1454.75</v>
      </c>
      <c r="K8"/>
      <c r="L8"/>
      <c r="M8"/>
      <c r="N8"/>
      <c r="O8"/>
      <c r="P8" s="89"/>
      <c r="Q8" s="8"/>
    </row>
    <row r="9" spans="7:17">
      <c r="G9">
        <v>2022</v>
      </c>
      <c r="H9" s="23">
        <v>9</v>
      </c>
      <c r="I9" s="87">
        <v>1454.75</v>
      </c>
      <c r="K9" t="s">
        <v>34</v>
      </c>
      <c r="L9" t="s">
        <v>85</v>
      </c>
      <c r="M9">
        <v>4</v>
      </c>
      <c r="N9">
        <v>6</v>
      </c>
      <c r="O9">
        <v>2022</v>
      </c>
      <c r="P9" s="89">
        <v>433.33333333333331</v>
      </c>
      <c r="Q9" s="8"/>
    </row>
    <row r="10" spans="7:17">
      <c r="G10">
        <v>2022</v>
      </c>
      <c r="H10" s="23">
        <v>10</v>
      </c>
      <c r="I10" s="87">
        <v>651.75000000000011</v>
      </c>
      <c r="K10"/>
      <c r="L10"/>
      <c r="M10"/>
      <c r="N10"/>
      <c r="O10"/>
      <c r="P10" s="89"/>
      <c r="Q10" s="8"/>
    </row>
    <row r="11" spans="7:17">
      <c r="G11">
        <v>2022</v>
      </c>
      <c r="H11" s="23">
        <v>11</v>
      </c>
      <c r="I11" s="87">
        <v>651.75000000000011</v>
      </c>
      <c r="K11" t="s">
        <v>34</v>
      </c>
      <c r="L11" t="s">
        <v>85</v>
      </c>
      <c r="M11">
        <v>5</v>
      </c>
      <c r="N11">
        <v>7</v>
      </c>
      <c r="O11">
        <v>2022</v>
      </c>
      <c r="P11" s="89">
        <v>183.33333333333331</v>
      </c>
      <c r="Q11" s="8"/>
    </row>
    <row r="12" spans="7:17">
      <c r="G12">
        <v>2022</v>
      </c>
      <c r="H12" s="23">
        <v>12</v>
      </c>
      <c r="I12" s="87">
        <v>651.75000000000011</v>
      </c>
      <c r="K12"/>
      <c r="L12"/>
      <c r="M12"/>
      <c r="N12"/>
      <c r="O12"/>
      <c r="P12" s="89"/>
      <c r="Q12" s="8"/>
    </row>
    <row r="13" spans="7:17">
      <c r="G13"/>
      <c r="H13"/>
      <c r="I13" s="87"/>
      <c r="K13" t="s">
        <v>34</v>
      </c>
      <c r="L13" t="s">
        <v>85</v>
      </c>
      <c r="M13">
        <v>6</v>
      </c>
      <c r="N13">
        <v>8</v>
      </c>
      <c r="O13">
        <v>2022</v>
      </c>
      <c r="P13" s="89">
        <v>183.33333333333331</v>
      </c>
      <c r="Q13" s="8"/>
    </row>
    <row r="14" spans="7:17">
      <c r="G14">
        <v>2023</v>
      </c>
      <c r="H14" s="23">
        <v>1</v>
      </c>
      <c r="I14" s="87">
        <v>551.75</v>
      </c>
      <c r="K14"/>
      <c r="L14"/>
      <c r="M14"/>
      <c r="N14"/>
      <c r="O14"/>
      <c r="P14" s="89"/>
      <c r="Q14" s="8"/>
    </row>
    <row r="15" spans="7:17">
      <c r="G15">
        <v>2023</v>
      </c>
      <c r="H15" s="23">
        <v>2</v>
      </c>
      <c r="I15" s="87">
        <v>551.75</v>
      </c>
      <c r="J15" s="8"/>
      <c r="K15" t="s">
        <v>34</v>
      </c>
      <c r="L15" t="s">
        <v>85</v>
      </c>
      <c r="M15">
        <v>7</v>
      </c>
      <c r="N15">
        <v>9</v>
      </c>
      <c r="O15">
        <v>2022</v>
      </c>
      <c r="P15" s="89">
        <v>183.33333333333331</v>
      </c>
      <c r="Q15" s="8"/>
    </row>
    <row r="16" spans="7:17">
      <c r="G16">
        <v>2023</v>
      </c>
      <c r="H16" s="23">
        <v>4</v>
      </c>
      <c r="I16" s="87">
        <v>1157</v>
      </c>
      <c r="J16" s="8"/>
      <c r="K16"/>
      <c r="L16"/>
      <c r="M16"/>
      <c r="N16"/>
      <c r="O16"/>
      <c r="P16" s="89"/>
      <c r="Q16" s="8"/>
    </row>
    <row r="17" spans="3:17">
      <c r="G17">
        <v>2023</v>
      </c>
      <c r="H17" s="23">
        <v>5</v>
      </c>
      <c r="I17" s="87">
        <v>2015</v>
      </c>
      <c r="J17" s="8"/>
      <c r="K17" t="s">
        <v>34</v>
      </c>
      <c r="L17" t="s">
        <v>85</v>
      </c>
      <c r="M17">
        <v>8</v>
      </c>
      <c r="N17">
        <v>10</v>
      </c>
      <c r="O17">
        <v>2022</v>
      </c>
      <c r="P17" s="89">
        <v>183.33333333333331</v>
      </c>
      <c r="Q17" s="8"/>
    </row>
    <row r="18" spans="3:17">
      <c r="G18">
        <v>2023</v>
      </c>
      <c r="H18" s="23">
        <v>6</v>
      </c>
      <c r="I18" s="87">
        <v>2015</v>
      </c>
      <c r="J18" s="8"/>
      <c r="K18"/>
      <c r="L18"/>
      <c r="M18"/>
      <c r="N18"/>
      <c r="O18"/>
      <c r="P18" s="89"/>
      <c r="Q18" s="8"/>
    </row>
    <row r="19" spans="3:17">
      <c r="C19" s="98" t="s">
        <v>92</v>
      </c>
      <c r="D19" s="98" t="s">
        <v>91</v>
      </c>
      <c r="G19">
        <v>2023</v>
      </c>
      <c r="H19" s="23">
        <v>7</v>
      </c>
      <c r="I19" s="87">
        <v>2015</v>
      </c>
      <c r="J19" s="8"/>
      <c r="K19" t="s">
        <v>34</v>
      </c>
      <c r="L19" t="s">
        <v>85</v>
      </c>
      <c r="M19">
        <v>9</v>
      </c>
      <c r="N19">
        <v>11</v>
      </c>
      <c r="O19">
        <v>2022</v>
      </c>
      <c r="P19" s="89">
        <v>183.33333333333331</v>
      </c>
      <c r="Q19" s="8"/>
    </row>
    <row r="20" spans="3:17">
      <c r="C20" s="96">
        <v>2022</v>
      </c>
      <c r="D20" s="97">
        <v>14138.500000000009</v>
      </c>
      <c r="G20">
        <v>2023</v>
      </c>
      <c r="H20" s="23">
        <v>8</v>
      </c>
      <c r="I20" s="87">
        <v>2015</v>
      </c>
      <c r="J20" s="8"/>
      <c r="K20"/>
      <c r="L20"/>
      <c r="M20"/>
      <c r="N20"/>
      <c r="O20"/>
      <c r="P20" s="89"/>
      <c r="Q20" s="8"/>
    </row>
    <row r="21" spans="3:17">
      <c r="C21" s="96">
        <v>2023</v>
      </c>
      <c r="D21" s="97">
        <v>14623.5</v>
      </c>
      <c r="G21">
        <v>2023</v>
      </c>
      <c r="H21" s="23">
        <v>9</v>
      </c>
      <c r="I21" s="87">
        <v>1215</v>
      </c>
      <c r="J21" s="8"/>
      <c r="K21" t="s">
        <v>34</v>
      </c>
      <c r="L21" t="s">
        <v>85</v>
      </c>
      <c r="M21">
        <v>10</v>
      </c>
      <c r="N21">
        <v>12</v>
      </c>
      <c r="O21">
        <v>2022</v>
      </c>
      <c r="P21" s="89">
        <v>183.33333333333331</v>
      </c>
      <c r="Q21" s="8"/>
    </row>
    <row r="22" spans="3:17">
      <c r="C22" s="96">
        <v>2024</v>
      </c>
      <c r="D22" s="97">
        <v>7751</v>
      </c>
      <c r="G22">
        <v>2023</v>
      </c>
      <c r="H22" s="23">
        <v>10</v>
      </c>
      <c r="I22" s="87">
        <v>1315</v>
      </c>
      <c r="J22" s="8"/>
      <c r="K22"/>
      <c r="L22"/>
      <c r="M22"/>
      <c r="N22"/>
      <c r="O22"/>
      <c r="P22" s="89"/>
      <c r="Q22" s="8"/>
    </row>
    <row r="23" spans="3:17">
      <c r="C23" s="96"/>
      <c r="D23" s="97">
        <v>0</v>
      </c>
      <c r="G23">
        <v>2023</v>
      </c>
      <c r="H23" s="23">
        <v>11</v>
      </c>
      <c r="I23" s="87">
        <v>1315</v>
      </c>
      <c r="J23" s="8"/>
      <c r="K23" t="s">
        <v>34</v>
      </c>
      <c r="L23" t="s">
        <v>85</v>
      </c>
      <c r="M23">
        <v>11</v>
      </c>
      <c r="N23">
        <v>1</v>
      </c>
      <c r="O23">
        <v>2023</v>
      </c>
      <c r="P23" s="89">
        <v>83.333333333333329</v>
      </c>
      <c r="Q23" s="8"/>
    </row>
    <row r="24" spans="3:17">
      <c r="C24" s="96" t="s">
        <v>89</v>
      </c>
      <c r="D24" s="97"/>
      <c r="G24">
        <v>2023</v>
      </c>
      <c r="H24" s="23">
        <v>12</v>
      </c>
      <c r="I24" s="87">
        <v>458</v>
      </c>
      <c r="J24" s="8"/>
      <c r="K24"/>
      <c r="L24"/>
      <c r="M24"/>
      <c r="N24"/>
      <c r="O24"/>
      <c r="P24" s="89"/>
      <c r="Q24" s="8"/>
    </row>
    <row r="25" spans="3:17">
      <c r="C25" s="96">
        <v>2025</v>
      </c>
      <c r="D25" s="97">
        <v>141</v>
      </c>
      <c r="G25"/>
      <c r="H25"/>
      <c r="I25" s="87"/>
      <c r="J25" s="8"/>
      <c r="K25" t="s">
        <v>34</v>
      </c>
      <c r="L25" t="s">
        <v>85</v>
      </c>
      <c r="M25">
        <v>12</v>
      </c>
      <c r="N25">
        <v>2</v>
      </c>
      <c r="O25">
        <v>2023</v>
      </c>
      <c r="P25" s="89">
        <v>83.333333333333329</v>
      </c>
      <c r="Q25" s="8"/>
    </row>
    <row r="26" spans="3:17">
      <c r="C26" s="99" t="s">
        <v>90</v>
      </c>
      <c r="D26" s="100">
        <v>36654.000000000007</v>
      </c>
      <c r="G26">
        <v>2024</v>
      </c>
      <c r="H26" s="23">
        <v>1</v>
      </c>
      <c r="I26" s="87">
        <v>338</v>
      </c>
      <c r="J26" s="8"/>
      <c r="K26"/>
      <c r="L26"/>
      <c r="M26"/>
      <c r="N26"/>
      <c r="O26"/>
      <c r="P26" s="89"/>
      <c r="Q26" s="8"/>
    </row>
    <row r="27" spans="3:17">
      <c r="G27">
        <v>2024</v>
      </c>
      <c r="H27">
        <v>2</v>
      </c>
      <c r="I27" s="87">
        <v>238</v>
      </c>
      <c r="K27" t="s">
        <v>34</v>
      </c>
      <c r="L27" t="s">
        <v>98</v>
      </c>
      <c r="M27">
        <v>1</v>
      </c>
      <c r="N27">
        <v>5</v>
      </c>
      <c r="O27">
        <v>2023</v>
      </c>
      <c r="P27" s="89">
        <v>238</v>
      </c>
      <c r="Q27" s="8"/>
    </row>
    <row r="28" spans="3:17">
      <c r="G28">
        <v>2024</v>
      </c>
      <c r="H28">
        <v>3</v>
      </c>
      <c r="I28" s="87">
        <v>238</v>
      </c>
      <c r="K28"/>
      <c r="L28"/>
      <c r="M28"/>
      <c r="N28"/>
      <c r="O28"/>
      <c r="P28" s="89"/>
      <c r="Q28" s="8"/>
    </row>
    <row r="29" spans="3:17">
      <c r="G29">
        <v>2024</v>
      </c>
      <c r="H29">
        <v>4</v>
      </c>
      <c r="I29" s="87">
        <v>238</v>
      </c>
      <c r="K29" t="s">
        <v>34</v>
      </c>
      <c r="L29" t="s">
        <v>98</v>
      </c>
      <c r="M29">
        <v>2</v>
      </c>
      <c r="N29">
        <v>6</v>
      </c>
      <c r="O29">
        <v>2023</v>
      </c>
      <c r="P29" s="89">
        <v>238</v>
      </c>
      <c r="Q29" s="8"/>
    </row>
    <row r="30" spans="3:17">
      <c r="G30">
        <v>2024</v>
      </c>
      <c r="H30">
        <v>5</v>
      </c>
      <c r="I30" s="87">
        <v>714</v>
      </c>
      <c r="K30"/>
      <c r="L30"/>
      <c r="M30"/>
      <c r="N30"/>
      <c r="O30"/>
      <c r="P30" s="89"/>
      <c r="Q30" s="8"/>
    </row>
    <row r="31" spans="3:17">
      <c r="G31">
        <v>2024</v>
      </c>
      <c r="H31" s="23">
        <v>6</v>
      </c>
      <c r="I31" s="87">
        <v>855</v>
      </c>
      <c r="K31" t="s">
        <v>34</v>
      </c>
      <c r="L31" t="s">
        <v>98</v>
      </c>
      <c r="M31">
        <v>3</v>
      </c>
      <c r="N31">
        <v>7</v>
      </c>
      <c r="O31">
        <v>2023</v>
      </c>
      <c r="P31" s="89">
        <v>238</v>
      </c>
      <c r="Q31" s="8"/>
    </row>
    <row r="32" spans="3:17">
      <c r="G32">
        <v>2024</v>
      </c>
      <c r="H32" s="23">
        <v>7</v>
      </c>
      <c r="I32" s="87">
        <v>855</v>
      </c>
      <c r="K32"/>
      <c r="L32"/>
      <c r="M32"/>
      <c r="N32"/>
      <c r="O32"/>
      <c r="P32" s="89"/>
      <c r="Q32" s="8"/>
    </row>
    <row r="33" spans="3:17">
      <c r="C33" s="8"/>
      <c r="D33" s="8"/>
      <c r="G33">
        <v>2024</v>
      </c>
      <c r="H33" s="23">
        <v>8</v>
      </c>
      <c r="I33" s="87">
        <v>855</v>
      </c>
      <c r="K33" t="s">
        <v>34</v>
      </c>
      <c r="L33" t="s">
        <v>98</v>
      </c>
      <c r="M33">
        <v>4</v>
      </c>
      <c r="N33">
        <v>8</v>
      </c>
      <c r="O33">
        <v>2023</v>
      </c>
      <c r="P33" s="89">
        <v>238</v>
      </c>
      <c r="Q33" s="8"/>
    </row>
    <row r="34" spans="3:17">
      <c r="C34" s="8"/>
      <c r="D34" s="8"/>
      <c r="G34">
        <v>2024</v>
      </c>
      <c r="H34" s="23">
        <v>9</v>
      </c>
      <c r="I34" s="87">
        <v>855</v>
      </c>
      <c r="K34"/>
      <c r="L34"/>
      <c r="M34"/>
      <c r="N34"/>
      <c r="O34"/>
      <c r="P34" s="89"/>
      <c r="Q34" s="8"/>
    </row>
    <row r="35" spans="3:17">
      <c r="C35" s="8"/>
      <c r="D35" s="8"/>
      <c r="G35">
        <v>2024</v>
      </c>
      <c r="H35" s="23">
        <v>10</v>
      </c>
      <c r="I35" s="87">
        <v>855</v>
      </c>
      <c r="K35" t="s">
        <v>34</v>
      </c>
      <c r="L35" t="s">
        <v>98</v>
      </c>
      <c r="M35">
        <v>5</v>
      </c>
      <c r="N35">
        <v>9</v>
      </c>
      <c r="O35">
        <v>2023</v>
      </c>
      <c r="P35" s="89">
        <v>238</v>
      </c>
      <c r="Q35" s="8"/>
    </row>
    <row r="36" spans="3:17">
      <c r="C36" s="8"/>
      <c r="D36" s="8"/>
      <c r="G36">
        <v>2024</v>
      </c>
      <c r="H36" s="23">
        <v>11</v>
      </c>
      <c r="I36" s="87">
        <v>855</v>
      </c>
      <c r="K36"/>
      <c r="L36"/>
      <c r="M36"/>
      <c r="N36"/>
      <c r="O36"/>
      <c r="P36" s="89"/>
      <c r="Q36" s="8"/>
    </row>
    <row r="37" spans="3:17">
      <c r="C37" s="8"/>
      <c r="D37" s="8"/>
      <c r="G37">
        <v>2024</v>
      </c>
      <c r="H37" s="23">
        <v>12</v>
      </c>
      <c r="I37" s="87">
        <v>855</v>
      </c>
      <c r="K37" t="s">
        <v>34</v>
      </c>
      <c r="L37" t="s">
        <v>98</v>
      </c>
      <c r="M37">
        <v>6</v>
      </c>
      <c r="N37">
        <v>10</v>
      </c>
      <c r="O37">
        <v>2023</v>
      </c>
      <c r="P37" s="89">
        <v>238</v>
      </c>
      <c r="Q37" s="8"/>
    </row>
    <row r="38" spans="3:17">
      <c r="C38" s="8"/>
      <c r="D38" s="8"/>
      <c r="G38"/>
      <c r="H38"/>
      <c r="I38" s="87"/>
      <c r="K38"/>
      <c r="L38"/>
      <c r="M38"/>
      <c r="N38"/>
      <c r="O38"/>
      <c r="P38" s="89"/>
      <c r="Q38" s="8"/>
    </row>
    <row r="39" spans="3:17">
      <c r="C39" s="8"/>
      <c r="D39" s="8"/>
      <c r="G39" t="s">
        <v>87</v>
      </c>
      <c r="H39" s="23"/>
      <c r="I39" s="87">
        <v>0</v>
      </c>
      <c r="K39" t="s">
        <v>34</v>
      </c>
      <c r="L39" t="s">
        <v>98</v>
      </c>
      <c r="M39">
        <v>7</v>
      </c>
      <c r="N39">
        <v>11</v>
      </c>
      <c r="O39">
        <v>2023</v>
      </c>
      <c r="P39" s="89">
        <v>238</v>
      </c>
      <c r="Q39" s="8"/>
    </row>
    <row r="40" spans="3:17">
      <c r="C40" s="8"/>
      <c r="D40" s="8"/>
      <c r="G40"/>
      <c r="H40"/>
      <c r="I40" s="87"/>
      <c r="K40"/>
      <c r="L40"/>
      <c r="M40"/>
      <c r="N40"/>
      <c r="O40"/>
      <c r="P40" s="89"/>
      <c r="Q40" s="8"/>
    </row>
    <row r="41" spans="3:17">
      <c r="C41" s="8"/>
      <c r="D41" s="8"/>
      <c r="G41" t="s">
        <v>89</v>
      </c>
      <c r="H41" s="23" t="s">
        <v>89</v>
      </c>
      <c r="I41" s="87"/>
      <c r="K41" t="s">
        <v>34</v>
      </c>
      <c r="L41" t="s">
        <v>98</v>
      </c>
      <c r="M41">
        <v>8</v>
      </c>
      <c r="N41">
        <v>12</v>
      </c>
      <c r="O41">
        <v>2023</v>
      </c>
      <c r="P41" s="89">
        <v>238</v>
      </c>
      <c r="Q41" s="8"/>
    </row>
    <row r="42" spans="3:17">
      <c r="C42" s="8"/>
      <c r="D42" s="8"/>
      <c r="G42"/>
      <c r="H42"/>
      <c r="I42" s="87"/>
      <c r="K42"/>
      <c r="L42"/>
      <c r="M42"/>
      <c r="N42"/>
      <c r="O42"/>
      <c r="P42" s="89"/>
      <c r="Q42" s="8"/>
    </row>
    <row r="43" spans="3:17">
      <c r="C43" s="8"/>
      <c r="D43" s="8"/>
      <c r="G43">
        <v>2025</v>
      </c>
      <c r="H43" s="23">
        <v>1</v>
      </c>
      <c r="I43" s="87">
        <v>141</v>
      </c>
      <c r="K43" t="s">
        <v>34</v>
      </c>
      <c r="L43" t="s">
        <v>98</v>
      </c>
      <c r="M43">
        <v>9</v>
      </c>
      <c r="N43">
        <v>1</v>
      </c>
      <c r="O43">
        <v>2024</v>
      </c>
      <c r="P43" s="89">
        <v>238</v>
      </c>
      <c r="Q43" s="8"/>
    </row>
    <row r="44" spans="3:17">
      <c r="C44" s="8"/>
      <c r="D44" s="8"/>
      <c r="G44"/>
      <c r="H44"/>
      <c r="I44" s="87"/>
      <c r="K44"/>
      <c r="L44"/>
      <c r="M44"/>
      <c r="N44"/>
      <c r="O44"/>
      <c r="P44" s="89"/>
      <c r="Q44" s="8"/>
    </row>
    <row r="45" spans="3:17">
      <c r="C45" s="8"/>
      <c r="D45" s="8"/>
      <c r="G45" s="23" t="s">
        <v>90</v>
      </c>
      <c r="H45" s="23"/>
      <c r="I45" s="87">
        <v>36654</v>
      </c>
      <c r="K45" t="s">
        <v>34</v>
      </c>
      <c r="L45" t="s">
        <v>98</v>
      </c>
      <c r="M45">
        <v>10</v>
      </c>
      <c r="N45">
        <v>2</v>
      </c>
      <c r="O45">
        <v>2024</v>
      </c>
      <c r="P45" s="89">
        <v>238</v>
      </c>
      <c r="Q45" s="8"/>
    </row>
    <row r="46" spans="3:17">
      <c r="C46" s="8"/>
      <c r="D46" s="8"/>
      <c r="G46"/>
      <c r="K46"/>
      <c r="L46"/>
      <c r="M46"/>
      <c r="N46"/>
      <c r="O46"/>
      <c r="P46" s="89"/>
      <c r="Q46" s="8"/>
    </row>
    <row r="47" spans="3:17">
      <c r="C47" s="8"/>
      <c r="D47" s="8"/>
      <c r="G47"/>
      <c r="K47" t="s">
        <v>34</v>
      </c>
      <c r="L47" t="s">
        <v>98</v>
      </c>
      <c r="M47">
        <v>11</v>
      </c>
      <c r="N47">
        <v>3</v>
      </c>
      <c r="O47">
        <v>2024</v>
      </c>
      <c r="P47" s="89">
        <v>238</v>
      </c>
      <c r="Q47" s="8"/>
    </row>
    <row r="48" spans="3:17">
      <c r="C48" s="8"/>
      <c r="D48" s="8"/>
      <c r="G48"/>
      <c r="K48"/>
      <c r="L48"/>
      <c r="M48"/>
      <c r="N48"/>
      <c r="O48"/>
      <c r="P48" s="89"/>
      <c r="Q48" s="8"/>
    </row>
    <row r="49" spans="3:17">
      <c r="C49" s="8"/>
      <c r="D49" s="8"/>
      <c r="G49"/>
      <c r="K49" t="s">
        <v>34</v>
      </c>
      <c r="L49" t="s">
        <v>98</v>
      </c>
      <c r="M49">
        <v>12</v>
      </c>
      <c r="N49">
        <v>4</v>
      </c>
      <c r="O49">
        <v>2024</v>
      </c>
      <c r="P49" s="89">
        <v>238</v>
      </c>
      <c r="Q49" s="8"/>
    </row>
    <row r="50" spans="3:17">
      <c r="C50" s="8"/>
      <c r="D50" s="8"/>
      <c r="G50"/>
      <c r="K50"/>
      <c r="L50"/>
      <c r="M50"/>
      <c r="N50"/>
      <c r="O50"/>
      <c r="P50" s="89"/>
      <c r="Q50" s="8"/>
    </row>
    <row r="51" spans="3:17">
      <c r="C51" s="8"/>
      <c r="D51" s="8"/>
      <c r="G51"/>
      <c r="K51" t="s">
        <v>41</v>
      </c>
      <c r="L51" t="s">
        <v>83</v>
      </c>
      <c r="M51">
        <v>1</v>
      </c>
      <c r="N51">
        <v>3</v>
      </c>
      <c r="O51">
        <v>2022</v>
      </c>
      <c r="P51" s="89">
        <v>803</v>
      </c>
      <c r="Q51" s="8"/>
    </row>
    <row r="52" spans="3:17">
      <c r="C52" s="8"/>
      <c r="D52" s="8"/>
      <c r="G52"/>
      <c r="K52"/>
      <c r="L52"/>
      <c r="M52"/>
      <c r="N52"/>
      <c r="O52"/>
      <c r="P52" s="89"/>
      <c r="Q52" s="8"/>
    </row>
    <row r="53" spans="3:17">
      <c r="K53" t="s">
        <v>41</v>
      </c>
      <c r="L53" t="s">
        <v>83</v>
      </c>
      <c r="M53">
        <v>2</v>
      </c>
      <c r="N53">
        <v>4</v>
      </c>
      <c r="O53">
        <v>2022</v>
      </c>
      <c r="P53" s="89">
        <v>803</v>
      </c>
      <c r="Q53" s="8"/>
    </row>
    <row r="54" spans="3:17">
      <c r="K54"/>
      <c r="L54"/>
      <c r="M54"/>
      <c r="N54"/>
      <c r="O54"/>
      <c r="P54" s="89"/>
      <c r="Q54" s="8"/>
    </row>
    <row r="55" spans="3:17">
      <c r="K55" t="s">
        <v>41</v>
      </c>
      <c r="L55" t="s">
        <v>83</v>
      </c>
      <c r="M55">
        <v>3</v>
      </c>
      <c r="N55">
        <v>5</v>
      </c>
      <c r="O55">
        <v>2022</v>
      </c>
      <c r="P55" s="89">
        <v>803</v>
      </c>
      <c r="Q55" s="8"/>
    </row>
    <row r="56" spans="3:17">
      <c r="K56"/>
      <c r="L56"/>
      <c r="M56"/>
      <c r="N56"/>
      <c r="O56"/>
      <c r="P56" s="89"/>
      <c r="Q56" s="8"/>
    </row>
    <row r="57" spans="3:17">
      <c r="K57" t="s">
        <v>41</v>
      </c>
      <c r="L57" t="s">
        <v>83</v>
      </c>
      <c r="M57">
        <v>4</v>
      </c>
      <c r="N57">
        <v>6</v>
      </c>
      <c r="O57">
        <v>2022</v>
      </c>
      <c r="P57" s="89">
        <v>803</v>
      </c>
      <c r="Q57" s="8"/>
    </row>
    <row r="58" spans="3:17">
      <c r="K58"/>
      <c r="L58"/>
      <c r="M58"/>
      <c r="N58"/>
      <c r="O58"/>
      <c r="P58" s="89"/>
      <c r="Q58" s="8"/>
    </row>
    <row r="59" spans="3:17">
      <c r="K59" t="s">
        <v>41</v>
      </c>
      <c r="L59" t="s">
        <v>83</v>
      </c>
      <c r="M59">
        <v>5</v>
      </c>
      <c r="N59">
        <v>7</v>
      </c>
      <c r="O59">
        <v>2022</v>
      </c>
      <c r="P59" s="89">
        <v>803</v>
      </c>
      <c r="Q59" s="8"/>
    </row>
    <row r="60" spans="3:17">
      <c r="K60"/>
      <c r="L60"/>
      <c r="M60"/>
      <c r="N60"/>
      <c r="O60"/>
      <c r="P60" s="89"/>
      <c r="Q60" s="8"/>
    </row>
    <row r="61" spans="3:17">
      <c r="K61" t="s">
        <v>41</v>
      </c>
      <c r="L61" t="s">
        <v>83</v>
      </c>
      <c r="M61">
        <v>6</v>
      </c>
      <c r="N61">
        <v>8</v>
      </c>
      <c r="O61">
        <v>2022</v>
      </c>
      <c r="P61" s="89">
        <v>803</v>
      </c>
      <c r="Q61" s="8"/>
    </row>
    <row r="62" spans="3:17">
      <c r="K62"/>
      <c r="L62"/>
      <c r="M62"/>
      <c r="N62"/>
      <c r="O62"/>
      <c r="P62" s="89"/>
      <c r="Q62" s="8"/>
    </row>
    <row r="63" spans="3:17">
      <c r="K63" t="s">
        <v>41</v>
      </c>
      <c r="L63" t="s">
        <v>83</v>
      </c>
      <c r="M63">
        <v>7</v>
      </c>
      <c r="N63">
        <v>9</v>
      </c>
      <c r="O63">
        <v>2022</v>
      </c>
      <c r="P63" s="89">
        <v>803</v>
      </c>
      <c r="Q63" s="8"/>
    </row>
    <row r="64" spans="3:17">
      <c r="K64"/>
      <c r="L64"/>
      <c r="M64"/>
      <c r="N64"/>
      <c r="O64"/>
      <c r="P64" s="89"/>
      <c r="Q64" s="8"/>
    </row>
    <row r="65" spans="11:17">
      <c r="K65" t="s">
        <v>13</v>
      </c>
      <c r="L65" t="s">
        <v>84</v>
      </c>
      <c r="M65">
        <v>1</v>
      </c>
      <c r="N65">
        <v>3</v>
      </c>
      <c r="O65">
        <v>2022</v>
      </c>
      <c r="P65" s="89">
        <v>468.41666666666669</v>
      </c>
      <c r="Q65" s="8"/>
    </row>
    <row r="66" spans="11:17">
      <c r="K66"/>
      <c r="L66"/>
      <c r="M66"/>
      <c r="N66"/>
      <c r="O66"/>
      <c r="P66" s="89"/>
      <c r="Q66" s="8"/>
    </row>
    <row r="67" spans="11:17">
      <c r="K67" t="s">
        <v>13</v>
      </c>
      <c r="L67" t="s">
        <v>84</v>
      </c>
      <c r="M67">
        <v>2</v>
      </c>
      <c r="N67">
        <v>4</v>
      </c>
      <c r="O67">
        <v>2022</v>
      </c>
      <c r="P67" s="89">
        <v>468.41666666666669</v>
      </c>
      <c r="Q67" s="8"/>
    </row>
    <row r="68" spans="11:17">
      <c r="K68"/>
      <c r="L68"/>
      <c r="M68"/>
      <c r="N68"/>
      <c r="O68"/>
      <c r="P68" s="89"/>
      <c r="Q68" s="8"/>
    </row>
    <row r="69" spans="11:17">
      <c r="K69" t="s">
        <v>13</v>
      </c>
      <c r="L69" t="s">
        <v>84</v>
      </c>
      <c r="M69">
        <v>3</v>
      </c>
      <c r="N69">
        <v>5</v>
      </c>
      <c r="O69">
        <v>2022</v>
      </c>
      <c r="P69" s="89">
        <v>468.41666666666669</v>
      </c>
      <c r="Q69" s="8"/>
    </row>
    <row r="70" spans="11:17">
      <c r="K70"/>
      <c r="L70"/>
      <c r="M70"/>
      <c r="N70"/>
      <c r="O70"/>
      <c r="P70" s="89"/>
      <c r="Q70" s="8"/>
    </row>
    <row r="71" spans="11:17">
      <c r="K71" t="s">
        <v>13</v>
      </c>
      <c r="L71" t="s">
        <v>84</v>
      </c>
      <c r="M71">
        <v>4</v>
      </c>
      <c r="N71">
        <v>6</v>
      </c>
      <c r="O71">
        <v>2022</v>
      </c>
      <c r="P71" s="89">
        <v>468.41666666666669</v>
      </c>
      <c r="Q71" s="8"/>
    </row>
    <row r="72" spans="11:17">
      <c r="K72"/>
      <c r="L72"/>
      <c r="M72"/>
      <c r="N72"/>
      <c r="O72"/>
      <c r="P72" s="89"/>
      <c r="Q72" s="8"/>
    </row>
    <row r="73" spans="11:17">
      <c r="K73" t="s">
        <v>13</v>
      </c>
      <c r="L73" t="s">
        <v>84</v>
      </c>
      <c r="M73">
        <v>5</v>
      </c>
      <c r="N73">
        <v>7</v>
      </c>
      <c r="O73">
        <v>2022</v>
      </c>
      <c r="P73" s="89">
        <v>468.41666666666669</v>
      </c>
      <c r="Q73" s="8"/>
    </row>
    <row r="74" spans="11:17">
      <c r="K74"/>
      <c r="L74"/>
      <c r="M74"/>
      <c r="N74"/>
      <c r="O74"/>
      <c r="P74" s="89"/>
      <c r="Q74" s="8"/>
    </row>
    <row r="75" spans="11:17">
      <c r="K75" t="s">
        <v>13</v>
      </c>
      <c r="L75" t="s">
        <v>84</v>
      </c>
      <c r="M75">
        <v>6</v>
      </c>
      <c r="N75">
        <v>8</v>
      </c>
      <c r="O75">
        <v>2022</v>
      </c>
      <c r="P75" s="89">
        <v>468.41666666666669</v>
      </c>
      <c r="Q75" s="8"/>
    </row>
    <row r="76" spans="11:17">
      <c r="K76"/>
      <c r="L76"/>
      <c r="M76"/>
      <c r="N76"/>
      <c r="O76"/>
      <c r="P76" s="89"/>
      <c r="Q76" s="8"/>
    </row>
    <row r="77" spans="11:17">
      <c r="K77" t="s">
        <v>13</v>
      </c>
      <c r="L77" t="s">
        <v>84</v>
      </c>
      <c r="M77">
        <v>7</v>
      </c>
      <c r="N77">
        <v>9</v>
      </c>
      <c r="O77">
        <v>2022</v>
      </c>
      <c r="P77" s="89">
        <v>468.41666666666669</v>
      </c>
      <c r="Q77" s="8"/>
    </row>
    <row r="78" spans="11:17">
      <c r="K78"/>
      <c r="L78"/>
      <c r="M78"/>
      <c r="N78"/>
      <c r="O78"/>
      <c r="P78" s="89"/>
      <c r="Q78" s="8"/>
    </row>
    <row r="79" spans="11:17">
      <c r="K79" t="s">
        <v>13</v>
      </c>
      <c r="L79" t="s">
        <v>84</v>
      </c>
      <c r="M79">
        <v>8</v>
      </c>
      <c r="N79">
        <v>10</v>
      </c>
      <c r="O79">
        <v>2022</v>
      </c>
      <c r="P79" s="89">
        <v>468.41666666666669</v>
      </c>
      <c r="Q79" s="8"/>
    </row>
    <row r="80" spans="11:17">
      <c r="K80"/>
      <c r="L80"/>
      <c r="M80"/>
      <c r="N80"/>
      <c r="O80"/>
      <c r="P80" s="89"/>
      <c r="Q80" s="8"/>
    </row>
    <row r="81" spans="11:17">
      <c r="K81" t="s">
        <v>13</v>
      </c>
      <c r="L81" t="s">
        <v>84</v>
      </c>
      <c r="M81">
        <v>9</v>
      </c>
      <c r="N81">
        <v>11</v>
      </c>
      <c r="O81">
        <v>2022</v>
      </c>
      <c r="P81" s="89">
        <v>468.41666666666669</v>
      </c>
      <c r="Q81" s="8"/>
    </row>
    <row r="82" spans="11:17">
      <c r="K82"/>
      <c r="L82"/>
      <c r="M82"/>
      <c r="N82"/>
      <c r="O82"/>
      <c r="P82" s="89"/>
      <c r="Q82" s="8"/>
    </row>
    <row r="83" spans="11:17">
      <c r="K83" t="s">
        <v>13</v>
      </c>
      <c r="L83" t="s">
        <v>84</v>
      </c>
      <c r="M83">
        <v>10</v>
      </c>
      <c r="N83">
        <v>12</v>
      </c>
      <c r="O83">
        <v>2022</v>
      </c>
      <c r="P83" s="89">
        <v>468.41666666666669</v>
      </c>
      <c r="Q83" s="8"/>
    </row>
    <row r="84" spans="11:17">
      <c r="K84"/>
      <c r="L84"/>
      <c r="M84"/>
      <c r="N84"/>
      <c r="O84"/>
      <c r="P84" s="89"/>
      <c r="Q84" s="8"/>
    </row>
    <row r="85" spans="11:17">
      <c r="K85" t="s">
        <v>13</v>
      </c>
      <c r="L85" t="s">
        <v>84</v>
      </c>
      <c r="M85">
        <v>11</v>
      </c>
      <c r="N85">
        <v>1</v>
      </c>
      <c r="O85">
        <v>2023</v>
      </c>
      <c r="P85" s="89">
        <v>468.41666666666669</v>
      </c>
      <c r="Q85" s="8"/>
    </row>
    <row r="86" spans="11:17">
      <c r="K86"/>
      <c r="L86"/>
      <c r="M86"/>
      <c r="N86"/>
      <c r="O86"/>
      <c r="P86" s="89"/>
      <c r="Q86" s="8"/>
    </row>
    <row r="87" spans="11:17">
      <c r="K87" t="s">
        <v>13</v>
      </c>
      <c r="L87" t="s">
        <v>84</v>
      </c>
      <c r="M87">
        <v>12</v>
      </c>
      <c r="N87">
        <v>2</v>
      </c>
      <c r="O87">
        <v>2023</v>
      </c>
      <c r="P87" s="89">
        <v>468.41666666666669</v>
      </c>
      <c r="Q87" s="8"/>
    </row>
    <row r="88" spans="11:17">
      <c r="K88"/>
      <c r="L88"/>
      <c r="M88"/>
      <c r="N88"/>
      <c r="O88"/>
      <c r="P88" s="89"/>
      <c r="Q88" s="8"/>
    </row>
    <row r="89" spans="11:17">
      <c r="K89" t="s">
        <v>48</v>
      </c>
      <c r="L89" t="s">
        <v>86</v>
      </c>
      <c r="M89">
        <v>1</v>
      </c>
      <c r="N89">
        <v>4</v>
      </c>
      <c r="O89">
        <v>2023</v>
      </c>
      <c r="P89" s="89">
        <v>800</v>
      </c>
      <c r="Q89" s="8"/>
    </row>
    <row r="90" spans="11:17">
      <c r="K90"/>
      <c r="L90"/>
      <c r="M90"/>
      <c r="N90"/>
      <c r="O90"/>
      <c r="P90" s="89"/>
      <c r="Q90" s="8"/>
    </row>
    <row r="91" spans="11:17">
      <c r="K91" t="s">
        <v>48</v>
      </c>
      <c r="L91" t="s">
        <v>86</v>
      </c>
      <c r="M91">
        <v>2</v>
      </c>
      <c r="N91">
        <v>5</v>
      </c>
      <c r="O91">
        <v>2023</v>
      </c>
      <c r="P91" s="89">
        <v>800</v>
      </c>
      <c r="Q91" s="8"/>
    </row>
    <row r="92" spans="11:17">
      <c r="K92"/>
      <c r="L92"/>
      <c r="M92"/>
      <c r="N92"/>
      <c r="O92"/>
      <c r="P92" s="89"/>
      <c r="Q92" s="8"/>
    </row>
    <row r="93" spans="11:17">
      <c r="K93" t="s">
        <v>48</v>
      </c>
      <c r="L93" t="s">
        <v>86</v>
      </c>
      <c r="M93">
        <v>3</v>
      </c>
      <c r="N93">
        <v>6</v>
      </c>
      <c r="O93">
        <v>2023</v>
      </c>
      <c r="P93" s="89">
        <v>800</v>
      </c>
      <c r="Q93" s="8"/>
    </row>
    <row r="94" spans="11:17">
      <c r="K94"/>
      <c r="L94"/>
      <c r="M94"/>
      <c r="N94"/>
      <c r="O94"/>
      <c r="P94" s="89"/>
      <c r="Q94" s="8"/>
    </row>
    <row r="95" spans="11:17">
      <c r="K95" t="s">
        <v>48</v>
      </c>
      <c r="L95" t="s">
        <v>86</v>
      </c>
      <c r="M95">
        <v>4</v>
      </c>
      <c r="N95">
        <v>7</v>
      </c>
      <c r="O95">
        <v>2023</v>
      </c>
      <c r="P95" s="89">
        <v>800</v>
      </c>
      <c r="Q95" s="8"/>
    </row>
    <row r="96" spans="11:17">
      <c r="K96"/>
      <c r="L96"/>
      <c r="M96"/>
      <c r="N96"/>
      <c r="O96"/>
      <c r="P96" s="89"/>
      <c r="Q96" s="8"/>
    </row>
    <row r="97" spans="11:17">
      <c r="K97" t="s">
        <v>48</v>
      </c>
      <c r="L97" t="s">
        <v>86</v>
      </c>
      <c r="M97">
        <v>5</v>
      </c>
      <c r="N97">
        <v>8</v>
      </c>
      <c r="O97">
        <v>2023</v>
      </c>
      <c r="P97" s="89">
        <v>800</v>
      </c>
      <c r="Q97" s="8"/>
    </row>
    <row r="98" spans="11:17">
      <c r="K98"/>
      <c r="L98"/>
      <c r="M98"/>
      <c r="N98"/>
      <c r="O98"/>
      <c r="P98" s="89"/>
      <c r="Q98" s="8"/>
    </row>
    <row r="99" spans="11:17">
      <c r="K99" t="s">
        <v>48</v>
      </c>
      <c r="L99" t="s">
        <v>86</v>
      </c>
      <c r="M99">
        <v>7</v>
      </c>
      <c r="N99">
        <v>10</v>
      </c>
      <c r="O99">
        <v>2023</v>
      </c>
      <c r="P99" s="89">
        <v>100</v>
      </c>
      <c r="Q99" s="8"/>
    </row>
    <row r="100" spans="11:17">
      <c r="K100"/>
      <c r="L100"/>
      <c r="M100"/>
      <c r="N100"/>
      <c r="O100"/>
      <c r="P100" s="89"/>
      <c r="Q100" s="8"/>
    </row>
    <row r="101" spans="11:17">
      <c r="K101" t="s">
        <v>48</v>
      </c>
      <c r="L101" t="s">
        <v>86</v>
      </c>
      <c r="M101">
        <v>8</v>
      </c>
      <c r="N101">
        <v>11</v>
      </c>
      <c r="O101">
        <v>2023</v>
      </c>
      <c r="P101" s="89">
        <v>100</v>
      </c>
      <c r="Q101" s="8"/>
    </row>
    <row r="102" spans="11:17">
      <c r="K102"/>
      <c r="L102"/>
      <c r="M102"/>
      <c r="N102"/>
      <c r="O102"/>
      <c r="P102" s="89"/>
      <c r="Q102" s="8"/>
    </row>
    <row r="103" spans="11:17">
      <c r="K103" t="s">
        <v>48</v>
      </c>
      <c r="L103" t="s">
        <v>86</v>
      </c>
      <c r="M103">
        <v>9</v>
      </c>
      <c r="N103">
        <v>12</v>
      </c>
      <c r="O103">
        <v>2023</v>
      </c>
      <c r="P103" s="89">
        <v>100</v>
      </c>
      <c r="Q103" s="8"/>
    </row>
    <row r="104" spans="11:17">
      <c r="K104"/>
      <c r="L104"/>
      <c r="M104"/>
      <c r="N104"/>
      <c r="O104"/>
      <c r="P104" s="89"/>
      <c r="Q104" s="8"/>
    </row>
    <row r="105" spans="11:17">
      <c r="K105" t="s">
        <v>48</v>
      </c>
      <c r="L105" t="s">
        <v>86</v>
      </c>
      <c r="M105">
        <v>10</v>
      </c>
      <c r="N105">
        <v>1</v>
      </c>
      <c r="O105">
        <v>2024</v>
      </c>
      <c r="P105" s="89">
        <v>100</v>
      </c>
      <c r="Q105" s="8"/>
    </row>
    <row r="106" spans="11:17">
      <c r="K106"/>
      <c r="L106"/>
      <c r="M106"/>
      <c r="N106"/>
      <c r="O106"/>
      <c r="P106" s="89"/>
      <c r="Q106" s="8"/>
    </row>
    <row r="107" spans="11:17">
      <c r="K107" t="s">
        <v>12</v>
      </c>
      <c r="L107" t="s">
        <v>88</v>
      </c>
      <c r="M107">
        <v>1</v>
      </c>
      <c r="N107">
        <v>5</v>
      </c>
      <c r="O107">
        <v>2023</v>
      </c>
      <c r="P107" s="89">
        <v>500</v>
      </c>
    </row>
    <row r="108" spans="11:17">
      <c r="K108"/>
      <c r="L108"/>
      <c r="M108"/>
      <c r="N108"/>
      <c r="O108"/>
      <c r="P108" s="89"/>
    </row>
    <row r="109" spans="11:17">
      <c r="K109" t="s">
        <v>12</v>
      </c>
      <c r="L109" t="s">
        <v>88</v>
      </c>
      <c r="M109">
        <v>2</v>
      </c>
      <c r="N109">
        <v>6</v>
      </c>
      <c r="O109">
        <v>2023</v>
      </c>
      <c r="P109" s="89">
        <v>500</v>
      </c>
    </row>
    <row r="110" spans="11:17">
      <c r="K110"/>
      <c r="L110"/>
      <c r="M110"/>
      <c r="N110"/>
      <c r="O110"/>
      <c r="P110" s="89"/>
    </row>
    <row r="111" spans="11:17">
      <c r="K111" t="s">
        <v>12</v>
      </c>
      <c r="L111" t="s">
        <v>88</v>
      </c>
      <c r="M111">
        <v>3</v>
      </c>
      <c r="N111">
        <v>7</v>
      </c>
      <c r="O111">
        <v>2023</v>
      </c>
      <c r="P111" s="89">
        <v>500</v>
      </c>
    </row>
    <row r="112" spans="11:17">
      <c r="K112"/>
      <c r="L112"/>
      <c r="M112"/>
      <c r="N112"/>
      <c r="O112"/>
      <c r="P112" s="89"/>
    </row>
    <row r="113" spans="11:16">
      <c r="K113" t="s">
        <v>12</v>
      </c>
      <c r="L113" t="s">
        <v>88</v>
      </c>
      <c r="M113">
        <v>4</v>
      </c>
      <c r="N113">
        <v>8</v>
      </c>
      <c r="O113">
        <v>2023</v>
      </c>
      <c r="P113" s="89">
        <v>500</v>
      </c>
    </row>
    <row r="114" spans="11:16">
      <c r="K114"/>
      <c r="L114"/>
      <c r="M114"/>
      <c r="N114"/>
      <c r="O114"/>
      <c r="P114" s="89"/>
    </row>
    <row r="115" spans="11:16">
      <c r="K115" t="s">
        <v>12</v>
      </c>
      <c r="L115" t="s">
        <v>88</v>
      </c>
      <c r="M115">
        <v>5</v>
      </c>
      <c r="N115">
        <v>9</v>
      </c>
      <c r="O115">
        <v>2023</v>
      </c>
      <c r="P115" s="89">
        <v>500</v>
      </c>
    </row>
    <row r="116" spans="11:16">
      <c r="K116"/>
      <c r="L116"/>
      <c r="M116"/>
      <c r="N116"/>
      <c r="O116"/>
      <c r="P116" s="89"/>
    </row>
    <row r="117" spans="11:16">
      <c r="K117" t="s">
        <v>12</v>
      </c>
      <c r="L117" t="s">
        <v>88</v>
      </c>
      <c r="M117">
        <v>6</v>
      </c>
      <c r="N117">
        <v>10</v>
      </c>
      <c r="O117">
        <v>2023</v>
      </c>
      <c r="P117" s="89">
        <v>500</v>
      </c>
    </row>
    <row r="118" spans="11:16">
      <c r="K118"/>
      <c r="L118"/>
      <c r="M118"/>
      <c r="N118"/>
      <c r="O118"/>
      <c r="P118" s="89"/>
    </row>
    <row r="119" spans="11:16">
      <c r="K119" t="s">
        <v>12</v>
      </c>
      <c r="L119" t="s">
        <v>88</v>
      </c>
      <c r="M119">
        <v>7</v>
      </c>
      <c r="N119">
        <v>11</v>
      </c>
      <c r="O119">
        <v>2023</v>
      </c>
      <c r="P119" s="89">
        <v>500</v>
      </c>
    </row>
    <row r="120" spans="11:16">
      <c r="K120"/>
      <c r="L120"/>
      <c r="M120"/>
      <c r="N120"/>
      <c r="O120"/>
      <c r="P120" s="89"/>
    </row>
    <row r="121" spans="11:16">
      <c r="K121" t="s">
        <v>12</v>
      </c>
      <c r="L121" t="s">
        <v>97</v>
      </c>
      <c r="M121">
        <v>1</v>
      </c>
      <c r="N121">
        <v>6</v>
      </c>
      <c r="O121">
        <v>2024</v>
      </c>
      <c r="P121" s="89">
        <v>141</v>
      </c>
    </row>
    <row r="122" spans="11:16">
      <c r="K122"/>
      <c r="L122"/>
      <c r="M122"/>
      <c r="N122"/>
      <c r="O122"/>
      <c r="P122" s="89"/>
    </row>
    <row r="123" spans="11:16">
      <c r="K123" t="s">
        <v>12</v>
      </c>
      <c r="L123" t="s">
        <v>97</v>
      </c>
      <c r="M123">
        <v>2</v>
      </c>
      <c r="N123">
        <v>7</v>
      </c>
      <c r="O123">
        <v>2024</v>
      </c>
      <c r="P123" s="89">
        <v>141</v>
      </c>
    </row>
    <row r="124" spans="11:16">
      <c r="K124"/>
      <c r="L124"/>
      <c r="M124"/>
      <c r="N124"/>
      <c r="O124"/>
      <c r="P124" s="89"/>
    </row>
    <row r="125" spans="11:16">
      <c r="K125" t="s">
        <v>12</v>
      </c>
      <c r="L125" t="s">
        <v>97</v>
      </c>
      <c r="M125">
        <v>3</v>
      </c>
      <c r="N125">
        <v>8</v>
      </c>
      <c r="O125">
        <v>2024</v>
      </c>
      <c r="P125" s="89">
        <v>141</v>
      </c>
    </row>
    <row r="126" spans="11:16">
      <c r="K126"/>
      <c r="L126"/>
      <c r="M126"/>
      <c r="N126"/>
      <c r="O126"/>
      <c r="P126" s="89"/>
    </row>
    <row r="127" spans="11:16">
      <c r="K127" t="s">
        <v>12</v>
      </c>
      <c r="L127" t="s">
        <v>97</v>
      </c>
      <c r="M127">
        <v>4</v>
      </c>
      <c r="N127">
        <v>9</v>
      </c>
      <c r="O127">
        <v>2024</v>
      </c>
      <c r="P127" s="89">
        <v>141</v>
      </c>
    </row>
    <row r="128" spans="11:16">
      <c r="K128"/>
      <c r="L128"/>
      <c r="M128"/>
      <c r="N128"/>
      <c r="O128"/>
      <c r="P128" s="89"/>
    </row>
    <row r="129" spans="11:16">
      <c r="K129" t="s">
        <v>12</v>
      </c>
      <c r="L129" t="s">
        <v>97</v>
      </c>
      <c r="M129">
        <v>5</v>
      </c>
      <c r="N129">
        <v>10</v>
      </c>
      <c r="O129">
        <v>2024</v>
      </c>
      <c r="P129" s="89">
        <v>141</v>
      </c>
    </row>
    <row r="130" spans="11:16">
      <c r="K130"/>
      <c r="L130"/>
      <c r="M130"/>
      <c r="N130"/>
      <c r="O130"/>
      <c r="P130" s="89"/>
    </row>
    <row r="131" spans="11:16">
      <c r="K131" t="s">
        <v>12</v>
      </c>
      <c r="L131" t="s">
        <v>97</v>
      </c>
      <c r="M131">
        <v>6</v>
      </c>
      <c r="N131">
        <v>11</v>
      </c>
      <c r="O131">
        <v>2024</v>
      </c>
      <c r="P131" s="89">
        <v>141</v>
      </c>
    </row>
    <row r="132" spans="11:16">
      <c r="K132"/>
      <c r="L132"/>
      <c r="M132"/>
      <c r="N132"/>
      <c r="O132"/>
      <c r="P132" s="89"/>
    </row>
    <row r="133" spans="11:16">
      <c r="K133" t="s">
        <v>12</v>
      </c>
      <c r="L133" t="s">
        <v>97</v>
      </c>
      <c r="M133">
        <v>7</v>
      </c>
      <c r="N133">
        <v>12</v>
      </c>
      <c r="O133">
        <v>2024</v>
      </c>
      <c r="P133" s="89">
        <v>141</v>
      </c>
    </row>
    <row r="134" spans="11:16">
      <c r="K134"/>
      <c r="L134"/>
      <c r="M134"/>
      <c r="N134"/>
      <c r="O134"/>
      <c r="P134" s="89"/>
    </row>
    <row r="135" spans="11:16">
      <c r="K135" t="s">
        <v>12</v>
      </c>
      <c r="L135" t="s">
        <v>97</v>
      </c>
      <c r="M135">
        <v>8</v>
      </c>
      <c r="N135">
        <v>1</v>
      </c>
      <c r="O135">
        <v>2025</v>
      </c>
      <c r="P135" s="89">
        <v>141</v>
      </c>
    </row>
    <row r="136" spans="11:16">
      <c r="K136"/>
      <c r="L136"/>
      <c r="M136"/>
      <c r="N136"/>
      <c r="O136"/>
      <c r="P136" s="89"/>
    </row>
    <row r="137" spans="11:16">
      <c r="K137" t="s">
        <v>89</v>
      </c>
      <c r="L137" t="s">
        <v>89</v>
      </c>
      <c r="M137" t="s">
        <v>89</v>
      </c>
      <c r="N137" t="s">
        <v>89</v>
      </c>
      <c r="O137" t="s">
        <v>89</v>
      </c>
      <c r="P137" s="89"/>
    </row>
    <row r="138" spans="11:16">
      <c r="K138"/>
      <c r="L138"/>
      <c r="M138"/>
      <c r="N138"/>
      <c r="O138"/>
      <c r="P138" s="89"/>
    </row>
    <row r="139" spans="11:16">
      <c r="K139" t="s">
        <v>90</v>
      </c>
      <c r="L139"/>
      <c r="M139"/>
      <c r="N139"/>
      <c r="O139"/>
      <c r="P139" s="89">
        <v>27126</v>
      </c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Q26"/>
  <sheetViews>
    <sheetView showGridLines="0" showRowColHeaders="0" zoomScaleNormal="100" workbookViewId="0">
      <pane xSplit="14" ySplit="25" topLeftCell="O26" activePane="bottomRight" state="frozen"/>
      <selection pane="topRight" activeCell="O1" sqref="O1"/>
      <selection pane="bottomLeft" activeCell="A26" sqref="A26"/>
      <selection pane="bottomRight"/>
    </sheetView>
  </sheetViews>
  <sheetFormatPr defaultColWidth="9.140625" defaultRowHeight="15" zeroHeight="1"/>
  <cols>
    <col min="1" max="1" width="3.140625" customWidth="1"/>
    <col min="2" max="2" width="2.7109375" customWidth="1"/>
    <col min="3" max="3" width="27.140625" style="71" customWidth="1"/>
    <col min="4" max="4" width="2.140625" style="120" customWidth="1"/>
    <col min="5" max="5" width="28.85546875" style="71" customWidth="1"/>
    <col min="6" max="6" width="2.28515625" style="122" customWidth="1"/>
    <col min="7" max="8" width="17.42578125" bestFit="1" customWidth="1"/>
    <col min="9" max="9" width="24.7109375" bestFit="1" customWidth="1"/>
    <col min="10" max="10" width="2.140625" style="122" customWidth="1"/>
    <col min="11" max="11" width="16.28515625" style="23" bestFit="1" customWidth="1"/>
    <col min="12" max="12" width="25" bestFit="1" customWidth="1"/>
    <col min="13" max="13" width="10.85546875" bestFit="1" customWidth="1"/>
    <col min="14" max="14" width="23.7109375" bestFit="1" customWidth="1"/>
    <col min="15" max="15" width="14" customWidth="1"/>
    <col min="16" max="16" width="23.7109375" customWidth="1"/>
    <col min="17" max="17" width="2.5703125" customWidth="1"/>
  </cols>
  <sheetData>
    <row r="1" spans="1:14" ht="54" customHeight="1" thickBot="1">
      <c r="A1" s="1"/>
    </row>
    <row r="2" spans="1:14" ht="19.5" thickBot="1">
      <c r="A2" s="1"/>
      <c r="C2" s="101"/>
      <c r="D2" s="121"/>
      <c r="G2" s="110" t="s">
        <v>20</v>
      </c>
      <c r="H2" s="110" t="s">
        <v>19</v>
      </c>
      <c r="I2" s="116" t="s">
        <v>100</v>
      </c>
      <c r="K2" s="104" t="s">
        <v>11</v>
      </c>
      <c r="L2" s="123" t="s">
        <v>5</v>
      </c>
      <c r="M2" s="123" t="s">
        <v>6</v>
      </c>
      <c r="N2" s="107" t="s">
        <v>99</v>
      </c>
    </row>
    <row r="3" spans="1:14" ht="15.75" thickBot="1">
      <c r="A3" s="1"/>
      <c r="G3" s="111">
        <v>2022</v>
      </c>
      <c r="H3" s="116">
        <v>2</v>
      </c>
      <c r="I3" s="117">
        <v>15242.000000000009</v>
      </c>
      <c r="K3" s="124">
        <v>44606</v>
      </c>
      <c r="L3" s="108" t="s">
        <v>34</v>
      </c>
      <c r="M3" s="107" t="s">
        <v>85</v>
      </c>
      <c r="N3" s="102">
        <v>3999.9999999999995</v>
      </c>
    </row>
    <row r="4" spans="1:14" ht="15.75" thickBot="1">
      <c r="A4" s="1"/>
      <c r="G4" s="112">
        <v>2023</v>
      </c>
      <c r="H4" s="111">
        <v>3</v>
      </c>
      <c r="I4" s="118">
        <v>7256</v>
      </c>
      <c r="K4" s="125">
        <v>44606</v>
      </c>
      <c r="L4" s="128" t="s">
        <v>41</v>
      </c>
      <c r="M4" s="107" t="s">
        <v>83</v>
      </c>
      <c r="N4" s="103">
        <v>5621</v>
      </c>
    </row>
    <row r="5" spans="1:14" ht="15.75" thickBot="1">
      <c r="A5" s="1"/>
      <c r="G5" s="112">
        <v>2023</v>
      </c>
      <c r="H5" s="113">
        <v>4</v>
      </c>
      <c r="I5" s="118">
        <v>7316</v>
      </c>
      <c r="K5" s="125">
        <v>44606</v>
      </c>
      <c r="L5" s="109" t="s">
        <v>13</v>
      </c>
      <c r="M5" s="107" t="s">
        <v>84</v>
      </c>
      <c r="N5" s="103">
        <v>5621.0000000000009</v>
      </c>
    </row>
    <row r="6" spans="1:14" ht="15.75" thickBot="1">
      <c r="A6" s="1"/>
      <c r="G6" s="112">
        <v>2024</v>
      </c>
      <c r="H6" s="143">
        <v>4</v>
      </c>
      <c r="I6" s="118">
        <v>5712</v>
      </c>
      <c r="K6" s="125">
        <v>45000</v>
      </c>
      <c r="L6" s="107" t="s">
        <v>48</v>
      </c>
      <c r="M6" s="107" t="s">
        <v>86</v>
      </c>
      <c r="N6" s="103">
        <v>4400</v>
      </c>
    </row>
    <row r="7" spans="1:14" ht="15.75" thickBot="1">
      <c r="A7" s="1"/>
      <c r="G7" s="112">
        <v>2024</v>
      </c>
      <c r="H7" s="116">
        <v>5</v>
      </c>
      <c r="I7" s="118">
        <v>1128</v>
      </c>
      <c r="K7" s="125">
        <v>45028</v>
      </c>
      <c r="L7" s="107" t="s">
        <v>12</v>
      </c>
      <c r="M7" s="107" t="s">
        <v>88</v>
      </c>
      <c r="N7" s="103">
        <v>3500</v>
      </c>
    </row>
    <row r="8" spans="1:14" ht="15.75" thickBot="1">
      <c r="A8" s="1"/>
      <c r="G8" s="112" t="s">
        <v>87</v>
      </c>
      <c r="H8" s="143"/>
      <c r="I8" s="118">
        <v>0</v>
      </c>
      <c r="K8" s="125">
        <v>45037</v>
      </c>
      <c r="L8" s="107" t="s">
        <v>34</v>
      </c>
      <c r="M8" s="107" t="s">
        <v>98</v>
      </c>
      <c r="N8" s="103">
        <v>2856</v>
      </c>
    </row>
    <row r="9" spans="1:14" ht="15.75" thickBot="1">
      <c r="A9" s="1"/>
      <c r="G9" s="113" t="s">
        <v>89</v>
      </c>
      <c r="H9" s="143" t="s">
        <v>89</v>
      </c>
      <c r="I9" s="118"/>
      <c r="K9" s="126">
        <v>45443</v>
      </c>
      <c r="L9" s="107" t="s">
        <v>12</v>
      </c>
      <c r="M9" s="107" t="s">
        <v>97</v>
      </c>
      <c r="N9" s="103">
        <v>1128</v>
      </c>
    </row>
    <row r="10" spans="1:14" ht="19.5" thickBot="1">
      <c r="A10" s="1"/>
      <c r="G10" s="114" t="s">
        <v>90</v>
      </c>
      <c r="H10" s="115"/>
      <c r="I10" s="119">
        <v>36654.000000000007</v>
      </c>
      <c r="K10" s="105" t="s">
        <v>90</v>
      </c>
      <c r="L10" s="127"/>
      <c r="M10" s="106"/>
      <c r="N10" s="129">
        <v>27126</v>
      </c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workbookViewId="0">
      <pane xSplit="14" ySplit="19" topLeftCell="O47" activePane="bottomRight" state="frozen"/>
      <selection pane="topRight" activeCell="O1" sqref="O1"/>
      <selection pane="bottomLeft" activeCell="A20" sqref="A20"/>
      <selection pane="bottomRight"/>
    </sheetView>
  </sheetViews>
  <sheetFormatPr defaultColWidth="0" defaultRowHeight="15"/>
  <cols>
    <col min="1" max="1" width="3.140625" style="3" customWidth="1"/>
    <col min="2" max="2" width="2.7109375" style="3" customWidth="1"/>
    <col min="3" max="3" width="26.140625" style="3" bestFit="1" customWidth="1"/>
    <col min="4" max="4" width="15.42578125" style="3" bestFit="1" customWidth="1"/>
    <col min="5" max="5" width="2.5703125" style="71" customWidth="1"/>
    <col min="6" max="6" width="2.85546875" style="3" customWidth="1"/>
    <col min="7" max="7" width="26.140625" style="3" bestFit="1" customWidth="1"/>
    <col min="8" max="8" width="12.28515625" style="3" bestFit="1" customWidth="1"/>
    <col min="9" max="9" width="16.5703125" style="3" bestFit="1" customWidth="1"/>
    <col min="10" max="10" width="10.85546875" style="3" bestFit="1" customWidth="1"/>
    <col min="11" max="11" width="19" style="3" bestFit="1" customWidth="1"/>
    <col min="12" max="15" width="9" style="3" customWidth="1"/>
    <col min="16" max="16" width="9" style="3" hidden="1"/>
    <col min="17" max="16384" width="8.7109375" style="3" hidden="1"/>
  </cols>
  <sheetData>
    <row r="1" spans="1:15" ht="54" customHeight="1">
      <c r="A1" s="2"/>
      <c r="B1" s="4"/>
      <c r="C1" s="134"/>
      <c r="D1" s="134"/>
      <c r="E1" s="139"/>
      <c r="F1" s="2"/>
      <c r="G1" s="134"/>
      <c r="H1" s="134"/>
      <c r="I1" s="134"/>
      <c r="J1" s="134"/>
      <c r="K1" s="134"/>
      <c r="L1" s="2"/>
      <c r="M1" s="2"/>
      <c r="N1" s="2"/>
      <c r="O1" s="135"/>
    </row>
    <row r="2" spans="1:15" ht="18.75">
      <c r="A2" s="2"/>
      <c r="B2" s="4"/>
      <c r="E2" s="139"/>
      <c r="F2" s="2"/>
      <c r="G2" s="130" t="s">
        <v>5</v>
      </c>
      <c r="H2" s="136" t="s">
        <v>102</v>
      </c>
      <c r="I2" s="132" t="s">
        <v>101</v>
      </c>
      <c r="J2" s="130" t="s">
        <v>103</v>
      </c>
      <c r="K2" s="3" t="s">
        <v>104</v>
      </c>
      <c r="L2" s="2"/>
      <c r="M2" s="2"/>
      <c r="N2" s="138"/>
      <c r="O2" s="135"/>
    </row>
    <row r="3" spans="1:15">
      <c r="A3" s="2"/>
      <c r="B3" s="4"/>
      <c r="E3" s="139"/>
      <c r="F3" s="2"/>
      <c r="G3" s="3" t="s">
        <v>26</v>
      </c>
      <c r="H3" s="3">
        <v>2023</v>
      </c>
      <c r="I3" s="3">
        <v>1</v>
      </c>
      <c r="J3" s="3" t="s">
        <v>89</v>
      </c>
      <c r="K3" s="131">
        <v>88</v>
      </c>
      <c r="L3" s="2"/>
      <c r="M3" s="2"/>
      <c r="N3" s="2"/>
      <c r="O3" s="135"/>
    </row>
    <row r="4" spans="1:15">
      <c r="A4" s="2"/>
      <c r="B4" s="4"/>
      <c r="E4" s="139"/>
      <c r="F4" s="2"/>
      <c r="G4" s="3" t="s">
        <v>26</v>
      </c>
      <c r="H4" s="3">
        <v>2023</v>
      </c>
      <c r="I4" s="3">
        <v>4</v>
      </c>
      <c r="J4" s="3" t="s">
        <v>105</v>
      </c>
      <c r="K4" s="131">
        <v>96</v>
      </c>
      <c r="L4" s="2"/>
      <c r="M4" s="2"/>
      <c r="N4" s="2"/>
      <c r="O4" s="135"/>
    </row>
    <row r="5" spans="1:15">
      <c r="A5" s="2"/>
      <c r="B5" s="4"/>
      <c r="E5" s="139"/>
      <c r="F5" s="2"/>
      <c r="K5" s="131"/>
      <c r="L5" s="2"/>
      <c r="M5" s="2"/>
      <c r="N5" s="2"/>
      <c r="O5" s="135"/>
    </row>
    <row r="6" spans="1:15">
      <c r="A6" s="2"/>
      <c r="B6" s="4"/>
      <c r="E6" s="139"/>
      <c r="F6" s="2"/>
      <c r="G6" s="3" t="s">
        <v>28</v>
      </c>
      <c r="H6" s="3">
        <v>2023</v>
      </c>
      <c r="I6" s="3">
        <v>4</v>
      </c>
      <c r="J6" s="3" t="s">
        <v>89</v>
      </c>
      <c r="K6" s="131">
        <v>428.4</v>
      </c>
      <c r="L6" s="2"/>
      <c r="M6" s="2"/>
      <c r="N6" s="2"/>
      <c r="O6" s="135"/>
    </row>
    <row r="7" spans="1:15">
      <c r="A7" s="2"/>
      <c r="B7" s="4"/>
      <c r="E7" s="139"/>
      <c r="F7" s="2"/>
      <c r="K7" s="131"/>
      <c r="L7" s="2"/>
      <c r="M7" s="2"/>
      <c r="N7" s="2"/>
      <c r="O7" s="135"/>
    </row>
    <row r="8" spans="1:15">
      <c r="A8" s="2"/>
      <c r="B8" s="4"/>
      <c r="E8" s="139"/>
      <c r="F8" s="2"/>
      <c r="G8" s="3" t="s">
        <v>32</v>
      </c>
      <c r="H8" s="3">
        <v>2023</v>
      </c>
      <c r="I8" s="3">
        <v>9</v>
      </c>
      <c r="J8" s="3" t="s">
        <v>98</v>
      </c>
      <c r="K8" s="131">
        <v>999.59999999999991</v>
      </c>
      <c r="L8" s="2"/>
      <c r="M8" s="2"/>
      <c r="N8" s="2"/>
      <c r="O8" s="135"/>
    </row>
    <row r="9" spans="1:15">
      <c r="A9" s="2"/>
      <c r="B9" s="4"/>
      <c r="E9" s="139"/>
      <c r="F9" s="2"/>
      <c r="K9" s="131"/>
      <c r="L9" s="2"/>
      <c r="M9" s="2"/>
      <c r="N9" s="2"/>
      <c r="O9" s="135"/>
    </row>
    <row r="10" spans="1:15">
      <c r="A10" s="2"/>
      <c r="B10" s="4"/>
      <c r="E10" s="139"/>
      <c r="F10" s="2"/>
      <c r="G10" s="3" t="s">
        <v>35</v>
      </c>
      <c r="H10" s="3">
        <v>2023</v>
      </c>
      <c r="I10" s="3">
        <v>4</v>
      </c>
      <c r="J10" s="3" t="s">
        <v>98</v>
      </c>
      <c r="K10" s="131">
        <v>142.80000000000001</v>
      </c>
      <c r="L10" s="2"/>
      <c r="M10" s="2"/>
      <c r="N10" s="2"/>
      <c r="O10" s="135"/>
    </row>
    <row r="11" spans="1:15">
      <c r="A11" s="2"/>
      <c r="B11" s="4"/>
      <c r="E11" s="139"/>
      <c r="F11" s="2"/>
      <c r="G11" s="3" t="s">
        <v>35</v>
      </c>
      <c r="H11" s="3">
        <v>2023</v>
      </c>
      <c r="I11" s="3">
        <v>7</v>
      </c>
      <c r="J11" s="3" t="s">
        <v>98</v>
      </c>
      <c r="K11" s="131">
        <v>142.80000000000001</v>
      </c>
      <c r="L11" s="2"/>
      <c r="M11" s="2"/>
      <c r="N11" s="2"/>
      <c r="O11" s="135"/>
    </row>
    <row r="12" spans="1:15">
      <c r="A12" s="2"/>
      <c r="B12" s="4"/>
      <c r="E12" s="139"/>
      <c r="F12" s="2"/>
      <c r="K12" s="131"/>
      <c r="L12" s="134"/>
      <c r="M12" s="134"/>
      <c r="N12" s="134"/>
      <c r="O12" s="135"/>
    </row>
    <row r="13" spans="1:15">
      <c r="A13" s="2"/>
      <c r="B13" s="4"/>
      <c r="E13" s="139"/>
      <c r="F13" s="2"/>
      <c r="G13" s="3" t="s">
        <v>69</v>
      </c>
      <c r="H13" s="3">
        <v>2023</v>
      </c>
      <c r="I13" s="3">
        <v>3</v>
      </c>
      <c r="J13" s="3" t="s">
        <v>98</v>
      </c>
      <c r="K13" s="131">
        <v>1570.8000000000002</v>
      </c>
      <c r="L13" s="134"/>
      <c r="M13" s="134"/>
      <c r="N13" s="134"/>
      <c r="O13" s="135"/>
    </row>
    <row r="14" spans="1:15">
      <c r="A14" s="2"/>
      <c r="B14" s="4"/>
      <c r="E14" s="139"/>
      <c r="F14" s="2"/>
      <c r="G14" s="3" t="s">
        <v>69</v>
      </c>
      <c r="H14" s="3">
        <v>2024</v>
      </c>
      <c r="I14" s="3">
        <v>4</v>
      </c>
      <c r="J14" s="3" t="s">
        <v>98</v>
      </c>
      <c r="K14" s="131">
        <v>3141.6000000000004</v>
      </c>
      <c r="L14" s="134"/>
      <c r="M14" s="134"/>
      <c r="N14" s="134"/>
      <c r="O14" s="135"/>
    </row>
    <row r="15" spans="1:15">
      <c r="A15" s="2"/>
      <c r="B15" s="4"/>
      <c r="E15" s="139"/>
      <c r="F15" s="2"/>
      <c r="K15" s="131"/>
      <c r="L15" s="134"/>
      <c r="M15" s="134"/>
      <c r="N15" s="134"/>
      <c r="O15" s="135"/>
    </row>
    <row r="16" spans="1:15">
      <c r="A16" s="2"/>
      <c r="B16" s="137"/>
      <c r="C16" s="137"/>
      <c r="D16" s="137"/>
      <c r="E16" s="137"/>
      <c r="F16" s="135"/>
      <c r="G16" s="3" t="s">
        <v>90</v>
      </c>
      <c r="K16" s="131">
        <v>6610</v>
      </c>
      <c r="L16" s="135"/>
      <c r="M16" s="135"/>
      <c r="N16" s="135"/>
      <c r="O16" s="135"/>
    </row>
    <row r="17" spans="1:15">
      <c r="A17" s="2"/>
      <c r="B17" s="137"/>
      <c r="C17" s="137"/>
      <c r="D17" s="137"/>
      <c r="E17" s="137"/>
      <c r="F17" s="135"/>
      <c r="G17" s="135"/>
      <c r="H17" s="135"/>
      <c r="I17" s="135"/>
      <c r="J17" s="135"/>
      <c r="K17" s="135"/>
      <c r="L17" s="135"/>
      <c r="M17" s="135"/>
      <c r="N17" s="135"/>
      <c r="O17" s="135"/>
    </row>
    <row r="18" spans="1:15">
      <c r="A18" s="2"/>
      <c r="B18" s="137"/>
      <c r="C18" s="137"/>
      <c r="D18" s="137"/>
      <c r="E18" s="137"/>
      <c r="F18" s="135"/>
      <c r="G18" s="135"/>
      <c r="H18" s="135"/>
      <c r="I18" s="135"/>
      <c r="J18" s="135"/>
      <c r="K18" s="135"/>
      <c r="L18" s="135"/>
      <c r="M18" s="135"/>
      <c r="N18" s="135"/>
      <c r="O18" s="135"/>
    </row>
    <row r="19" spans="1:15">
      <c r="A19" s="2"/>
      <c r="B19" s="137"/>
      <c r="C19" s="137"/>
      <c r="D19" s="137"/>
      <c r="E19" s="137"/>
      <c r="F19" s="135"/>
      <c r="G19" s="135"/>
      <c r="H19" s="135"/>
      <c r="I19" s="135"/>
      <c r="J19" s="135"/>
      <c r="K19" s="135"/>
      <c r="L19" s="135"/>
      <c r="M19" s="135"/>
      <c r="N19" s="135"/>
      <c r="O19" s="135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2023-06-29T10:07:04Z</dcterms:modified>
</cp:coreProperties>
</file>