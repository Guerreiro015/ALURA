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drawings/drawing5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slicers/slicer2.xml" ContentType="application/vnd.ms-excel.slicer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Luana\Documents\GitHub\ALURA\"/>
    </mc:Choice>
  </mc:AlternateContent>
  <xr:revisionPtr revIDLastSave="0" documentId="13_ncr:1_{3086D4CF-FD6E-4355-99D1-F622F7A459E0}" xr6:coauthVersionLast="47" xr6:coauthVersionMax="47" xr10:uidLastSave="{00000000-0000-0000-0000-000000000000}"/>
  <bookViews>
    <workbookView xWindow="-110" yWindow="-110" windowWidth="19420" windowHeight="10300" tabRatio="795" firstSheet="3" activeTab="8" xr2:uid="{00000000-000D-0000-FFFF-FFFF00000000}"/>
  </bookViews>
  <sheets>
    <sheet name="DADOS CLIENTES" sheetId="4" r:id="rId1"/>
    <sheet name="DADOS FUNCIONÁRIOS" sheetId="6" r:id="rId2"/>
    <sheet name="SERVIÇOS" sheetId="2" r:id="rId3"/>
    <sheet name="DADOS VENDAS" sheetId="3" r:id="rId4"/>
    <sheet name="COMISSÕES" sheetId="7" r:id="rId5"/>
    <sheet name="RESUMOS PAGAMENTOS" sheetId="8" r:id="rId6"/>
    <sheet name="RESUMOS COMISSÕES" sheetId="9" r:id="rId7"/>
    <sheet name="RESUMO SERVICOS" sheetId="5" r:id="rId8"/>
    <sheet name="MENU" sheetId="10" r:id="rId9"/>
  </sheets>
  <definedNames>
    <definedName name="_xlnm._FilterDatabase" localSheetId="3" hidden="1">'DADOS VENDAS'!$A$1:$O$102</definedName>
    <definedName name="_xlnm._FilterDatabase" localSheetId="8" hidden="1">MENU!#REF!</definedName>
    <definedName name="_xlnm._FilterDatabase" localSheetId="7" hidden="1">'RESUMO SERVICOS'!#REF!</definedName>
    <definedName name="_xlnm._FilterDatabase" localSheetId="6" hidden="1">'RESUMOS COMISSÕES'!#REF!</definedName>
    <definedName name="_xlnm._FilterDatabase" localSheetId="5" hidden="1">'RESUMOS PAGAMENTOS'!#REF!</definedName>
    <definedName name="_xlnm.Print_Area" localSheetId="7">'RESUMO SERVICOS'!$A$1:$N$18</definedName>
    <definedName name="SegmentaçãodeDados_ANO_PAGAMENTO1">#N/A</definedName>
    <definedName name="SegmentaçãodeDados_ANO_SERVIÇO">#N/A</definedName>
    <definedName name="SegmentaçãodeDados_MÊS_PAGAMENTO1">#N/A</definedName>
    <definedName name="SegmentaçãodeDados_MÊS_SERVIÇO">#N/A</definedName>
  </definedNames>
  <calcPr calcId="191029"/>
  <pivotCaches>
    <pivotCache cacheId="13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3" l="1"/>
  <c r="L3" i="3"/>
  <c r="M3" i="3"/>
  <c r="N3" i="3"/>
  <c r="K4" i="3"/>
  <c r="L4" i="3"/>
  <c r="M4" i="3"/>
  <c r="N4" i="3"/>
  <c r="K5" i="3"/>
  <c r="L5" i="3"/>
  <c r="M5" i="3"/>
  <c r="N5" i="3"/>
  <c r="K6" i="3"/>
  <c r="L6" i="3"/>
  <c r="M6" i="3"/>
  <c r="N6" i="3"/>
  <c r="K7" i="3"/>
  <c r="L7" i="3"/>
  <c r="M7" i="3"/>
  <c r="N7" i="3"/>
  <c r="K8" i="3"/>
  <c r="L8" i="3"/>
  <c r="M8" i="3"/>
  <c r="N8" i="3"/>
  <c r="K9" i="3"/>
  <c r="L9" i="3"/>
  <c r="M9" i="3"/>
  <c r="N9" i="3"/>
  <c r="K10" i="3"/>
  <c r="L10" i="3"/>
  <c r="M10" i="3"/>
  <c r="N10" i="3"/>
  <c r="K11" i="3"/>
  <c r="L11" i="3"/>
  <c r="M11" i="3"/>
  <c r="N11" i="3"/>
  <c r="N2" i="3"/>
  <c r="M2" i="3"/>
  <c r="L2" i="3"/>
  <c r="K2" i="3"/>
  <c r="C8" i="2"/>
  <c r="F4" i="7"/>
  <c r="G4" i="7"/>
  <c r="G3" i="7"/>
  <c r="F3" i="7"/>
  <c r="G2" i="7"/>
  <c r="F2" i="7"/>
  <c r="H10" i="2"/>
  <c r="L13" i="3"/>
  <c r="M13" i="3"/>
  <c r="N13" i="3"/>
  <c r="O13" i="3"/>
  <c r="L14" i="3"/>
  <c r="M14" i="3"/>
  <c r="N14" i="3"/>
  <c r="O14" i="3"/>
  <c r="L15" i="3"/>
  <c r="M15" i="3"/>
  <c r="N15" i="3"/>
  <c r="O15" i="3"/>
  <c r="L16" i="3"/>
  <c r="M16" i="3"/>
  <c r="N16" i="3"/>
  <c r="O16" i="3"/>
  <c r="L17" i="3"/>
  <c r="M17" i="3"/>
  <c r="N17" i="3"/>
  <c r="O17" i="3"/>
  <c r="L18" i="3"/>
  <c r="M18" i="3"/>
  <c r="N18" i="3"/>
  <c r="O18" i="3"/>
  <c r="L19" i="3"/>
  <c r="M19" i="3"/>
  <c r="N19" i="3"/>
  <c r="O19" i="3"/>
  <c r="L20" i="3"/>
  <c r="M20" i="3"/>
  <c r="N20" i="3"/>
  <c r="O20" i="3"/>
  <c r="L21" i="3"/>
  <c r="M21" i="3"/>
  <c r="N21" i="3"/>
  <c r="O21" i="3"/>
  <c r="O12" i="3"/>
  <c r="N12" i="3"/>
  <c r="M12" i="3"/>
  <c r="L12" i="3"/>
  <c r="L23" i="3"/>
  <c r="M23" i="3"/>
  <c r="N23" i="3"/>
  <c r="O23" i="3"/>
  <c r="L24" i="3"/>
  <c r="M24" i="3"/>
  <c r="N24" i="3"/>
  <c r="O24" i="3"/>
  <c r="L25" i="3"/>
  <c r="M25" i="3"/>
  <c r="N25" i="3"/>
  <c r="O25" i="3"/>
  <c r="L26" i="3"/>
  <c r="M26" i="3"/>
  <c r="N26" i="3"/>
  <c r="O26" i="3"/>
  <c r="L27" i="3"/>
  <c r="M27" i="3"/>
  <c r="N27" i="3"/>
  <c r="O27" i="3"/>
  <c r="L28" i="3"/>
  <c r="M28" i="3"/>
  <c r="N28" i="3"/>
  <c r="O28" i="3"/>
  <c r="L29" i="3"/>
  <c r="M29" i="3"/>
  <c r="N29" i="3"/>
  <c r="O29" i="3"/>
  <c r="L30" i="3"/>
  <c r="M30" i="3"/>
  <c r="N30" i="3"/>
  <c r="O30" i="3"/>
  <c r="L31" i="3"/>
  <c r="M31" i="3"/>
  <c r="N31" i="3"/>
  <c r="O31" i="3"/>
  <c r="O22" i="3"/>
  <c r="N22" i="3"/>
  <c r="M22" i="3"/>
  <c r="L22" i="3"/>
  <c r="H13" i="2"/>
  <c r="J7" i="2"/>
  <c r="L33" i="3"/>
  <c r="M33" i="3"/>
  <c r="N33" i="3"/>
  <c r="O33" i="3"/>
  <c r="L34" i="3"/>
  <c r="M34" i="3"/>
  <c r="N34" i="3"/>
  <c r="O34" i="3"/>
  <c r="L35" i="3"/>
  <c r="M35" i="3"/>
  <c r="N35" i="3"/>
  <c r="O35" i="3"/>
  <c r="L36" i="3"/>
  <c r="M36" i="3"/>
  <c r="N36" i="3"/>
  <c r="O36" i="3"/>
  <c r="L37" i="3"/>
  <c r="M37" i="3"/>
  <c r="N37" i="3"/>
  <c r="O37" i="3"/>
  <c r="L38" i="3"/>
  <c r="M38" i="3"/>
  <c r="N38" i="3"/>
  <c r="O38" i="3"/>
  <c r="L39" i="3"/>
  <c r="M39" i="3"/>
  <c r="N39" i="3"/>
  <c r="O39" i="3"/>
  <c r="L40" i="3"/>
  <c r="M40" i="3"/>
  <c r="N40" i="3"/>
  <c r="O40" i="3"/>
  <c r="L41" i="3"/>
  <c r="M41" i="3"/>
  <c r="N41" i="3"/>
  <c r="O41" i="3"/>
  <c r="O32" i="3"/>
  <c r="N32" i="3"/>
  <c r="M32" i="3"/>
  <c r="L32" i="3"/>
  <c r="L43" i="3"/>
  <c r="M43" i="3"/>
  <c r="N43" i="3"/>
  <c r="O43" i="3"/>
  <c r="L44" i="3"/>
  <c r="M44" i="3"/>
  <c r="N44" i="3"/>
  <c r="O44" i="3"/>
  <c r="L45" i="3"/>
  <c r="M45" i="3"/>
  <c r="N45" i="3"/>
  <c r="O45" i="3"/>
  <c r="L46" i="3"/>
  <c r="M46" i="3"/>
  <c r="N46" i="3"/>
  <c r="O46" i="3"/>
  <c r="L47" i="3"/>
  <c r="M47" i="3"/>
  <c r="N47" i="3"/>
  <c r="O47" i="3"/>
  <c r="L48" i="3"/>
  <c r="M48" i="3"/>
  <c r="N48" i="3"/>
  <c r="O48" i="3"/>
  <c r="L49" i="3"/>
  <c r="M49" i="3"/>
  <c r="N49" i="3"/>
  <c r="O49" i="3"/>
  <c r="L50" i="3"/>
  <c r="M50" i="3"/>
  <c r="N50" i="3"/>
  <c r="O50" i="3"/>
  <c r="L51" i="3"/>
  <c r="M51" i="3"/>
  <c r="N51" i="3"/>
  <c r="O51" i="3"/>
  <c r="O42" i="3"/>
  <c r="N42" i="3"/>
  <c r="M42" i="3"/>
  <c r="L42" i="3"/>
  <c r="L53" i="3"/>
  <c r="M53" i="3"/>
  <c r="N53" i="3"/>
  <c r="O53" i="3"/>
  <c r="L54" i="3"/>
  <c r="M54" i="3"/>
  <c r="N54" i="3"/>
  <c r="O54" i="3"/>
  <c r="L55" i="3"/>
  <c r="M55" i="3"/>
  <c r="N55" i="3"/>
  <c r="O55" i="3"/>
  <c r="L56" i="3"/>
  <c r="M56" i="3"/>
  <c r="N56" i="3"/>
  <c r="O56" i="3"/>
  <c r="L57" i="3"/>
  <c r="M57" i="3"/>
  <c r="N57" i="3"/>
  <c r="O57" i="3"/>
  <c r="L58" i="3"/>
  <c r="M58" i="3"/>
  <c r="N58" i="3"/>
  <c r="O58" i="3"/>
  <c r="L59" i="3"/>
  <c r="M59" i="3"/>
  <c r="N59" i="3"/>
  <c r="O59" i="3"/>
  <c r="L60" i="3"/>
  <c r="M60" i="3"/>
  <c r="N60" i="3"/>
  <c r="O60" i="3"/>
  <c r="L61" i="3"/>
  <c r="M61" i="3"/>
  <c r="N61" i="3"/>
  <c r="O61" i="3"/>
  <c r="O52" i="3"/>
  <c r="N52" i="3"/>
  <c r="M52" i="3"/>
  <c r="L52" i="3"/>
  <c r="L63" i="3"/>
  <c r="M63" i="3"/>
  <c r="N63" i="3"/>
  <c r="O63" i="3"/>
  <c r="L64" i="3"/>
  <c r="M64" i="3"/>
  <c r="N64" i="3"/>
  <c r="O64" i="3"/>
  <c r="L65" i="3"/>
  <c r="M65" i="3"/>
  <c r="N65" i="3"/>
  <c r="O65" i="3"/>
  <c r="L66" i="3"/>
  <c r="M66" i="3"/>
  <c r="N66" i="3"/>
  <c r="O66" i="3"/>
  <c r="L67" i="3"/>
  <c r="M67" i="3"/>
  <c r="N67" i="3"/>
  <c r="O67" i="3"/>
  <c r="L68" i="3"/>
  <c r="M68" i="3"/>
  <c r="N68" i="3"/>
  <c r="O68" i="3"/>
  <c r="L69" i="3"/>
  <c r="M69" i="3"/>
  <c r="N69" i="3"/>
  <c r="O69" i="3"/>
  <c r="L70" i="3"/>
  <c r="M70" i="3"/>
  <c r="N70" i="3"/>
  <c r="O70" i="3"/>
  <c r="L71" i="3"/>
  <c r="M71" i="3"/>
  <c r="N71" i="3"/>
  <c r="O71" i="3"/>
  <c r="O62" i="3"/>
  <c r="N62" i="3"/>
  <c r="M62" i="3"/>
  <c r="L62" i="3"/>
  <c r="L73" i="3"/>
  <c r="M73" i="3"/>
  <c r="N73" i="3"/>
  <c r="O73" i="3"/>
  <c r="L74" i="3"/>
  <c r="M74" i="3"/>
  <c r="N74" i="3"/>
  <c r="O74" i="3"/>
  <c r="L75" i="3"/>
  <c r="M75" i="3"/>
  <c r="N75" i="3"/>
  <c r="O75" i="3"/>
  <c r="L76" i="3"/>
  <c r="M76" i="3"/>
  <c r="N76" i="3"/>
  <c r="O76" i="3"/>
  <c r="L77" i="3"/>
  <c r="M77" i="3"/>
  <c r="N77" i="3"/>
  <c r="O77" i="3"/>
  <c r="L78" i="3"/>
  <c r="M78" i="3"/>
  <c r="N78" i="3"/>
  <c r="O78" i="3"/>
  <c r="L79" i="3"/>
  <c r="M79" i="3"/>
  <c r="N79" i="3"/>
  <c r="O79" i="3"/>
  <c r="L80" i="3"/>
  <c r="M80" i="3"/>
  <c r="N80" i="3"/>
  <c r="O80" i="3"/>
  <c r="L81" i="3"/>
  <c r="M81" i="3"/>
  <c r="N81" i="3"/>
  <c r="O81" i="3"/>
  <c r="O72" i="3"/>
  <c r="N72" i="3"/>
  <c r="M72" i="3"/>
  <c r="L72" i="3"/>
  <c r="L83" i="3"/>
  <c r="M83" i="3"/>
  <c r="N83" i="3"/>
  <c r="O83" i="3"/>
  <c r="L84" i="3"/>
  <c r="M84" i="3"/>
  <c r="N84" i="3"/>
  <c r="O84" i="3"/>
  <c r="L85" i="3"/>
  <c r="M85" i="3"/>
  <c r="N85" i="3"/>
  <c r="O85" i="3"/>
  <c r="L86" i="3"/>
  <c r="M86" i="3"/>
  <c r="N86" i="3"/>
  <c r="O86" i="3"/>
  <c r="L87" i="3"/>
  <c r="M87" i="3"/>
  <c r="N87" i="3"/>
  <c r="O87" i="3"/>
  <c r="L88" i="3"/>
  <c r="M88" i="3"/>
  <c r="N88" i="3"/>
  <c r="O88" i="3"/>
  <c r="L89" i="3"/>
  <c r="M89" i="3"/>
  <c r="N89" i="3"/>
  <c r="O89" i="3"/>
  <c r="L90" i="3"/>
  <c r="M90" i="3"/>
  <c r="N90" i="3"/>
  <c r="O90" i="3"/>
  <c r="L91" i="3"/>
  <c r="M91" i="3"/>
  <c r="N91" i="3"/>
  <c r="O91" i="3"/>
  <c r="L92" i="3"/>
  <c r="M92" i="3"/>
  <c r="N92" i="3"/>
  <c r="O92" i="3"/>
  <c r="L93" i="3"/>
  <c r="M93" i="3"/>
  <c r="N93" i="3"/>
  <c r="O93" i="3"/>
  <c r="L94" i="3"/>
  <c r="M94" i="3"/>
  <c r="N94" i="3"/>
  <c r="O94" i="3"/>
  <c r="L95" i="3"/>
  <c r="M95" i="3"/>
  <c r="N95" i="3"/>
  <c r="O95" i="3"/>
  <c r="L96" i="3"/>
  <c r="M96" i="3"/>
  <c r="N96" i="3"/>
  <c r="O96" i="3"/>
  <c r="L97" i="3"/>
  <c r="M97" i="3"/>
  <c r="N97" i="3"/>
  <c r="O97" i="3"/>
  <c r="L98" i="3"/>
  <c r="M98" i="3"/>
  <c r="N98" i="3"/>
  <c r="O98" i="3"/>
  <c r="L99" i="3"/>
  <c r="M99" i="3"/>
  <c r="N99" i="3"/>
  <c r="O99" i="3"/>
  <c r="L100" i="3"/>
  <c r="M100" i="3"/>
  <c r="N100" i="3"/>
  <c r="O100" i="3"/>
  <c r="L101" i="3"/>
  <c r="M101" i="3"/>
  <c r="N101" i="3"/>
  <c r="O101" i="3"/>
  <c r="L102" i="3"/>
  <c r="M102" i="3"/>
  <c r="N102" i="3"/>
  <c r="O102" i="3"/>
  <c r="O82" i="3"/>
  <c r="N82" i="3"/>
  <c r="M82" i="3"/>
  <c r="L82" i="3"/>
  <c r="C14" i="2"/>
  <c r="C12" i="2"/>
  <c r="C10" i="2"/>
  <c r="C6" i="2"/>
  <c r="K11" i="2" l="1"/>
  <c r="N11" i="2" l="1"/>
  <c r="N12" i="2"/>
  <c r="K10" i="2"/>
  <c r="N7" i="2"/>
  <c r="K12" i="2"/>
  <c r="N10" i="2"/>
  <c r="N9" i="2"/>
  <c r="N8" i="2"/>
  <c r="K8" i="2"/>
  <c r="K9" i="2"/>
  <c r="K7" i="2"/>
  <c r="J8" i="2" l="1"/>
  <c r="J9" i="2" s="1"/>
  <c r="J10" i="2" s="1"/>
  <c r="J11" i="2" s="1"/>
  <c r="J12" i="2" s="1"/>
  <c r="M7" i="2" s="1"/>
  <c r="M8" i="2" s="1"/>
  <c r="M9" i="2" s="1"/>
  <c r="M10" i="2" s="1"/>
  <c r="M11" i="2" s="1"/>
  <c r="M12" i="2" s="1"/>
</calcChain>
</file>

<file path=xl/sharedStrings.xml><?xml version="1.0" encoding="utf-8"?>
<sst xmlns="http://schemas.openxmlformats.org/spreadsheetml/2006/main" count="545" uniqueCount="104">
  <si>
    <t xml:space="preserve">NOME: </t>
  </si>
  <si>
    <t>CPF</t>
  </si>
  <si>
    <t>TELEFONE</t>
  </si>
  <si>
    <t>E-MAIL</t>
  </si>
  <si>
    <t>CLIENTE</t>
  </si>
  <si>
    <t>NOME</t>
  </si>
  <si>
    <t xml:space="preserve">TELEFONE </t>
  </si>
  <si>
    <t>SERVIÇO</t>
  </si>
  <si>
    <t>VALOR</t>
  </si>
  <si>
    <t>PARCELAS</t>
  </si>
  <si>
    <t>PARCELAMENTO</t>
  </si>
  <si>
    <t>VALOR PARCELA</t>
  </si>
  <si>
    <t>Valor da Parcela</t>
  </si>
  <si>
    <t>DATA SERVIÇO</t>
  </si>
  <si>
    <t>DATA PAGAMENTO</t>
  </si>
  <si>
    <t>A@</t>
  </si>
  <si>
    <t>B@</t>
  </si>
  <si>
    <t>C@</t>
  </si>
  <si>
    <t>BELTRANO DE SOUSA</t>
  </si>
  <si>
    <t>SICRANO DA SILVA</t>
  </si>
  <si>
    <t>JOAO NINGUEM</t>
  </si>
  <si>
    <t>Digite o nome do cliente</t>
  </si>
  <si>
    <t>SERVIÇOS</t>
  </si>
  <si>
    <t>DESDE</t>
  </si>
  <si>
    <t>DATA CADASTRO</t>
  </si>
  <si>
    <t>31/02/2021</t>
  </si>
  <si>
    <t>Data do Serviço</t>
  </si>
  <si>
    <t>Data do Pagamento</t>
  </si>
  <si>
    <t>Num. De Parcelas</t>
  </si>
  <si>
    <t>Transporte</t>
  </si>
  <si>
    <t>MÊS SERVIÇO</t>
  </si>
  <si>
    <t>ANO SERVIÇO</t>
  </si>
  <si>
    <t>MÊS PAGAMENTO</t>
  </si>
  <si>
    <t>ANO PAGAMENTO</t>
  </si>
  <si>
    <t>Total Geral</t>
  </si>
  <si>
    <t>2023</t>
  </si>
  <si>
    <t>VALOR SERVIÇO</t>
  </si>
  <si>
    <t>ZE DO POVO</t>
  </si>
  <si>
    <t>ZE@</t>
  </si>
  <si>
    <t>PRAIEIRO</t>
  </si>
  <si>
    <t>ALMOCO</t>
  </si>
  <si>
    <t>janta</t>
  </si>
  <si>
    <t>merenda</t>
  </si>
  <si>
    <t>COMISSÃO</t>
  </si>
  <si>
    <t>Adriane de Carvalho Gomes</t>
  </si>
  <si>
    <t>RH</t>
  </si>
  <si>
    <t>Alon Pinheiro</t>
  </si>
  <si>
    <t>Compras</t>
  </si>
  <si>
    <t>Andressa Rotsztejn</t>
  </si>
  <si>
    <t>Marketing</t>
  </si>
  <si>
    <t>Beatriz Leite Júnior</t>
  </si>
  <si>
    <t>Administrativo</t>
  </si>
  <si>
    <t>Bruna dos Santos Gomes</t>
  </si>
  <si>
    <t>Carolina Codeceira</t>
  </si>
  <si>
    <t>Daniela Muller Braga</t>
  </si>
  <si>
    <t>Logística</t>
  </si>
  <si>
    <t>Elvis de Freitas Derossi</t>
  </si>
  <si>
    <t>Gabrielle Andrade da Silva</t>
  </si>
  <si>
    <t xml:space="preserve">Gustavo de Vasconcelos </t>
  </si>
  <si>
    <t>Isabella Ronfini</t>
  </si>
  <si>
    <t>Juan Fernandes</t>
  </si>
  <si>
    <t>Júlio Fraga</t>
  </si>
  <si>
    <t>Leticia Mesquita</t>
  </si>
  <si>
    <t>Marcela de Freitas</t>
  </si>
  <si>
    <t>Financeiro</t>
  </si>
  <si>
    <t>Marianna Pestana</t>
  </si>
  <si>
    <t xml:space="preserve">Matheus de Souza  </t>
  </si>
  <si>
    <t>Pedro Costa</t>
  </si>
  <si>
    <t>Rafael Machado Cardoso</t>
  </si>
  <si>
    <t>Renan Freire</t>
  </si>
  <si>
    <t>Thaís Ribeiro</t>
  </si>
  <si>
    <t>Victor Ruzza de Carvalho</t>
  </si>
  <si>
    <t>Yuri Araujo Senna</t>
  </si>
  <si>
    <t>Nome</t>
  </si>
  <si>
    <t>CARGO</t>
  </si>
  <si>
    <t>EMAIL</t>
  </si>
  <si>
    <t xml:space="preserve">Diego </t>
  </si>
  <si>
    <t>22222@minhaempresa.com</t>
  </si>
  <si>
    <t>33333@minhaempresa.com</t>
  </si>
  <si>
    <t>1122334445@minhaempresa.com</t>
  </si>
  <si>
    <t>RH@minhaempresa.com</t>
  </si>
  <si>
    <t>Compras@minhaempresa.com</t>
  </si>
  <si>
    <t>Marketing@minhaempresa.com</t>
  </si>
  <si>
    <t>Administrativo@minhaempresa.com</t>
  </si>
  <si>
    <t>Logística@minhaempresa.com</t>
  </si>
  <si>
    <t>Financeiro@minhaempresa.com</t>
  </si>
  <si>
    <t>Admissão</t>
  </si>
  <si>
    <t>Menina das Flores</t>
  </si>
  <si>
    <t>234.778.766-00</t>
  </si>
  <si>
    <t>adm</t>
  </si>
  <si>
    <t>menina@flores</t>
  </si>
  <si>
    <t>Atendente</t>
  </si>
  <si>
    <t>Comissão</t>
  </si>
  <si>
    <t>Valor do Serviço</t>
  </si>
  <si>
    <t>janeiro</t>
  </si>
  <si>
    <t>QUANT</t>
  </si>
  <si>
    <t>ANO</t>
  </si>
  <si>
    <t>MêS</t>
  </si>
  <si>
    <t>Soma de VALOR SERVIÇO</t>
  </si>
  <si>
    <t>2024</t>
  </si>
  <si>
    <t>N_PARCELA</t>
  </si>
  <si>
    <t>Soma de VALOR PARCELA</t>
  </si>
  <si>
    <t>DANI</t>
  </si>
  <si>
    <t>Menu Principal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</si>
</sst>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&quot;.&quot;000&quot;.&quot;000\-00\ "/>
    <numFmt numFmtId="165" formatCode="#,##0.00_ ;[Red]\-#,##0.00\ 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10"/>
      <color rgb="FFDDDDDD"/>
      <name val="Arial Unicode MS"/>
    </font>
    <font>
      <b/>
      <sz val="10"/>
      <color rgb="FFF92672"/>
      <name val="Arial Unicode MS"/>
    </font>
    <font>
      <sz val="48"/>
      <color rgb="FFC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24994659260841701"/>
      </bottom>
      <diagonal/>
    </border>
    <border>
      <left/>
      <right/>
      <top style="medium">
        <color theme="0" tint="-0.499984740745262"/>
      </top>
      <bottom style="medium">
        <color theme="0" tint="-0.24994659260841701"/>
      </bottom>
      <diagonal/>
    </border>
    <border>
      <left/>
      <right style="medium">
        <color theme="0" tint="-0.24994659260841701"/>
      </right>
      <top style="medium">
        <color theme="0" tint="-0.499984740745262"/>
      </top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double">
        <color indexed="64"/>
      </top>
      <bottom style="medium">
        <color theme="0" tint="-0.4999847407452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theme="0" tint="-0.24994659260841701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116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5" fillId="3" borderId="0" xfId="0" applyFont="1" applyFill="1" applyAlignment="1">
      <alignment vertical="center"/>
    </xf>
    <xf numFmtId="0" fontId="0" fillId="3" borderId="4" xfId="0" applyFill="1" applyBorder="1" applyAlignment="1">
      <alignment vertical="center"/>
    </xf>
    <xf numFmtId="0" fontId="5" fillId="3" borderId="0" xfId="0" applyFont="1" applyFill="1" applyAlignment="1">
      <alignment horizontal="right" vertical="center"/>
    </xf>
    <xf numFmtId="0" fontId="0" fillId="4" borderId="5" xfId="0" applyFill="1" applyBorder="1" applyAlignment="1">
      <alignment horizontal="center" vertical="center"/>
    </xf>
    <xf numFmtId="0" fontId="2" fillId="0" borderId="0" xfId="2"/>
    <xf numFmtId="0" fontId="0" fillId="3" borderId="0" xfId="0" applyFill="1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3" fillId="3" borderId="8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44" fontId="6" fillId="4" borderId="13" xfId="1" applyFont="1" applyFill="1" applyBorder="1" applyAlignment="1">
      <alignment horizontal="center" vertical="center"/>
    </xf>
    <xf numFmtId="44" fontId="6" fillId="4" borderId="8" xfId="1" applyFont="1" applyFill="1" applyBorder="1" applyAlignment="1">
      <alignment horizontal="center" vertical="center"/>
    </xf>
    <xf numFmtId="44" fontId="6" fillId="4" borderId="18" xfId="1" applyFont="1" applyFill="1" applyBorder="1" applyAlignment="1">
      <alignment horizontal="center" vertical="center"/>
    </xf>
    <xf numFmtId="44" fontId="6" fillId="4" borderId="14" xfId="1" applyFont="1" applyFill="1" applyBorder="1" applyAlignment="1">
      <alignment horizontal="center" vertical="center"/>
    </xf>
    <xf numFmtId="44" fontId="6" fillId="4" borderId="16" xfId="1" applyFont="1" applyFill="1" applyBorder="1" applyAlignment="1">
      <alignment horizontal="center" vertical="center"/>
    </xf>
    <xf numFmtId="44" fontId="6" fillId="4" borderId="19" xfId="1" applyFont="1" applyFill="1" applyBorder="1" applyAlignment="1">
      <alignment horizontal="center" vertical="center"/>
    </xf>
    <xf numFmtId="14" fontId="7" fillId="3" borderId="13" xfId="0" applyNumberFormat="1" applyFont="1" applyFill="1" applyBorder="1" applyAlignment="1">
      <alignment horizontal="center" vertical="center"/>
    </xf>
    <xf numFmtId="14" fontId="7" fillId="3" borderId="8" xfId="0" applyNumberFormat="1" applyFont="1" applyFill="1" applyBorder="1" applyAlignment="1">
      <alignment horizontal="center" vertical="center"/>
    </xf>
    <xf numFmtId="14" fontId="7" fillId="3" borderId="18" xfId="0" applyNumberFormat="1" applyFont="1" applyFill="1" applyBorder="1" applyAlignment="1">
      <alignment horizontal="center" vertical="center"/>
    </xf>
    <xf numFmtId="44" fontId="8" fillId="4" borderId="20" xfId="1" applyFont="1" applyFill="1" applyBorder="1" applyAlignment="1">
      <alignment horizontal="center" vertical="center"/>
    </xf>
    <xf numFmtId="14" fontId="0" fillId="4" borderId="21" xfId="0" applyNumberFormat="1" applyFill="1" applyBorder="1" applyAlignment="1">
      <alignment horizontal="right" vertical="center"/>
    </xf>
    <xf numFmtId="44" fontId="8" fillId="4" borderId="21" xfId="1" applyFont="1" applyFill="1" applyBorder="1" applyAlignment="1">
      <alignment horizontal="right" vertical="center"/>
    </xf>
    <xf numFmtId="14" fontId="0" fillId="4" borderId="5" xfId="0" applyNumberFormat="1" applyFill="1" applyBorder="1" applyAlignment="1">
      <alignment horizontal="right" vertical="center"/>
    </xf>
    <xf numFmtId="0" fontId="0" fillId="4" borderId="22" xfId="0" applyFill="1" applyBorder="1" applyAlignment="1">
      <alignment horizontal="left" vertical="center"/>
    </xf>
    <xf numFmtId="43" fontId="0" fillId="0" borderId="0" xfId="3" applyFont="1"/>
    <xf numFmtId="0" fontId="0" fillId="8" borderId="23" xfId="0" applyFill="1" applyBorder="1"/>
    <xf numFmtId="0" fontId="0" fillId="8" borderId="24" xfId="0" applyFill="1" applyBorder="1"/>
    <xf numFmtId="0" fontId="0" fillId="8" borderId="25" xfId="0" applyFill="1" applyBorder="1"/>
    <xf numFmtId="0" fontId="0" fillId="0" borderId="0" xfId="0" pivotButton="1"/>
    <xf numFmtId="0" fontId="0" fillId="9" borderId="0" xfId="0" applyFill="1"/>
    <xf numFmtId="3" fontId="0" fillId="0" borderId="0" xfId="0" applyNumberFormat="1"/>
    <xf numFmtId="0" fontId="0" fillId="0" borderId="0" xfId="0" applyAlignment="1">
      <alignment horizontal="center"/>
    </xf>
    <xf numFmtId="0" fontId="0" fillId="8" borderId="0" xfId="0" applyFill="1"/>
    <xf numFmtId="14" fontId="0" fillId="8" borderId="0" xfId="0" applyNumberFormat="1" applyFill="1"/>
    <xf numFmtId="43" fontId="0" fillId="8" borderId="0" xfId="3" applyFont="1" applyFill="1" applyBorder="1"/>
    <xf numFmtId="0" fontId="0" fillId="0" borderId="8" xfId="0" applyBorder="1"/>
    <xf numFmtId="164" fontId="0" fillId="0" borderId="8" xfId="0" applyNumberFormat="1" applyBorder="1"/>
    <xf numFmtId="0" fontId="11" fillId="0" borderId="27" xfId="0" applyFont="1" applyBorder="1" applyAlignment="1">
      <alignment horizontal="center"/>
    </xf>
    <xf numFmtId="0" fontId="0" fillId="0" borderId="29" xfId="0" applyBorder="1"/>
    <xf numFmtId="0" fontId="0" fillId="0" borderId="31" xfId="0" applyBorder="1"/>
    <xf numFmtId="0" fontId="0" fillId="0" borderId="32" xfId="0" applyBorder="1"/>
    <xf numFmtId="164" fontId="0" fillId="0" borderId="32" xfId="0" applyNumberFormat="1" applyBorder="1"/>
    <xf numFmtId="0" fontId="11" fillId="0" borderId="8" xfId="0" applyFont="1" applyBorder="1" applyAlignment="1">
      <alignment horizontal="center"/>
    </xf>
    <xf numFmtId="9" fontId="0" fillId="0" borderId="0" xfId="0" applyNumberFormat="1"/>
    <xf numFmtId="0" fontId="0" fillId="10" borderId="0" xfId="0" applyFill="1"/>
    <xf numFmtId="0" fontId="0" fillId="10" borderId="29" xfId="0" applyFill="1" applyBorder="1"/>
    <xf numFmtId="0" fontId="0" fillId="10" borderId="8" xfId="0" applyFill="1" applyBorder="1"/>
    <xf numFmtId="14" fontId="0" fillId="10" borderId="30" xfId="0" applyNumberFormat="1" applyFill="1" applyBorder="1" applyAlignment="1">
      <alignment horizontal="center"/>
    </xf>
    <xf numFmtId="164" fontId="0" fillId="10" borderId="8" xfId="0" applyNumberFormat="1" applyFill="1" applyBorder="1"/>
    <xf numFmtId="0" fontId="0" fillId="10" borderId="31" xfId="0" applyFill="1" applyBorder="1"/>
    <xf numFmtId="164" fontId="0" fillId="10" borderId="32" xfId="0" applyNumberFormat="1" applyFill="1" applyBorder="1"/>
    <xf numFmtId="0" fontId="0" fillId="10" borderId="32" xfId="0" applyFill="1" applyBorder="1"/>
    <xf numFmtId="14" fontId="0" fillId="10" borderId="33" xfId="0" applyNumberFormat="1" applyFill="1" applyBorder="1" applyAlignment="1">
      <alignment horizontal="center"/>
    </xf>
    <xf numFmtId="0" fontId="0" fillId="10" borderId="0" xfId="0" applyFill="1" applyAlignment="1">
      <alignment horizontal="center"/>
    </xf>
    <xf numFmtId="0" fontId="11" fillId="11" borderId="26" xfId="0" applyFont="1" applyFill="1" applyBorder="1" applyAlignment="1">
      <alignment horizontal="center"/>
    </xf>
    <xf numFmtId="0" fontId="11" fillId="11" borderId="27" xfId="0" applyFont="1" applyFill="1" applyBorder="1" applyAlignment="1">
      <alignment horizontal="center"/>
    </xf>
    <xf numFmtId="0" fontId="11" fillId="11" borderId="28" xfId="0" applyFont="1" applyFill="1" applyBorder="1" applyAlignment="1">
      <alignment horizontal="center"/>
    </xf>
    <xf numFmtId="0" fontId="0" fillId="11" borderId="0" xfId="0" applyFill="1"/>
    <xf numFmtId="44" fontId="12" fillId="0" borderId="0" xfId="0" applyNumberFormat="1" applyFont="1" applyAlignment="1">
      <alignment vertical="center"/>
    </xf>
    <xf numFmtId="0" fontId="10" fillId="0" borderId="0" xfId="0" applyFont="1" applyAlignment="1">
      <alignment horizontal="center"/>
    </xf>
    <xf numFmtId="165" fontId="0" fillId="0" borderId="0" xfId="0" applyNumberFormat="1"/>
    <xf numFmtId="0" fontId="10" fillId="0" borderId="0" xfId="0" applyFont="1"/>
    <xf numFmtId="0" fontId="13" fillId="0" borderId="0" xfId="0" pivotButton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4" fontId="13" fillId="0" borderId="0" xfId="0" applyNumberFormat="1" applyFont="1" applyAlignment="1">
      <alignment horizontal="center" vertical="center"/>
    </xf>
    <xf numFmtId="43" fontId="13" fillId="0" borderId="0" xfId="0" applyNumberFormat="1" applyFont="1" applyAlignment="1">
      <alignment horizontal="center" vertical="center"/>
    </xf>
    <xf numFmtId="0" fontId="13" fillId="0" borderId="0" xfId="0" applyFont="1"/>
    <xf numFmtId="0" fontId="14" fillId="0" borderId="0" xfId="0" applyFont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0" fontId="0" fillId="5" borderId="5" xfId="0" applyFill="1" applyBorder="1" applyAlignment="1">
      <alignment horizontal="left" vertical="center"/>
    </xf>
    <xf numFmtId="0" fontId="0" fillId="5" borderId="6" xfId="0" applyFill="1" applyBorder="1" applyAlignment="1">
      <alignment horizontal="left" vertical="center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0" borderId="0" xfId="0" applyFill="1"/>
    <xf numFmtId="43" fontId="0" fillId="0" borderId="0" xfId="0" applyNumberFormat="1" applyFill="1"/>
    <xf numFmtId="0" fontId="11" fillId="0" borderId="0" xfId="0" applyFont="1" applyFill="1"/>
    <xf numFmtId="43" fontId="11" fillId="0" borderId="0" xfId="0" applyNumberFormat="1" applyFont="1" applyFill="1"/>
    <xf numFmtId="0" fontId="13" fillId="0" borderId="0" xfId="0" applyFont="1" applyFill="1"/>
    <xf numFmtId="43" fontId="13" fillId="0" borderId="0" xfId="0" applyNumberFormat="1" applyFont="1" applyFill="1"/>
    <xf numFmtId="0" fontId="16" fillId="0" borderId="0" xfId="0" applyFont="1" applyAlignment="1">
      <alignment horizontal="left" vertical="center" indent="1"/>
    </xf>
    <xf numFmtId="0" fontId="15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5" fillId="10" borderId="0" xfId="0" applyFont="1" applyFill="1" applyAlignment="1">
      <alignment horizontal="left" vertical="center" indent="1"/>
    </xf>
    <xf numFmtId="0" fontId="0" fillId="10" borderId="0" xfId="0" applyFill="1" applyAlignment="1">
      <alignment horizontal="left" vertical="center" indent="1"/>
    </xf>
    <xf numFmtId="0" fontId="0" fillId="6" borderId="5" xfId="0" applyFill="1" applyBorder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0" fontId="0" fillId="6" borderId="7" xfId="0" applyFill="1" applyBorder="1" applyAlignment="1">
      <alignment horizontal="left" vertical="center"/>
    </xf>
    <xf numFmtId="14" fontId="0" fillId="6" borderId="5" xfId="0" applyNumberFormat="1" applyFill="1" applyBorder="1" applyAlignment="1">
      <alignment horizontal="left" vertical="center"/>
    </xf>
    <xf numFmtId="14" fontId="0" fillId="6" borderId="6" xfId="0" applyNumberFormat="1" applyFill="1" applyBorder="1" applyAlignment="1">
      <alignment horizontal="left" vertical="center"/>
    </xf>
    <xf numFmtId="14" fontId="0" fillId="6" borderId="7" xfId="0" applyNumberFormat="1" applyFill="1" applyBorder="1" applyAlignment="1">
      <alignment horizontal="left" vertical="center"/>
    </xf>
    <xf numFmtId="164" fontId="0" fillId="12" borderId="34" xfId="0" applyNumberFormat="1" applyFont="1" applyFill="1" applyBorder="1" applyAlignment="1">
      <alignment horizontal="left" vertical="center"/>
    </xf>
    <xf numFmtId="164" fontId="0" fillId="12" borderId="0" xfId="0" applyNumberFormat="1" applyFont="1" applyFill="1" applyBorder="1" applyAlignment="1">
      <alignment horizontal="left" vertical="center"/>
    </xf>
    <xf numFmtId="164" fontId="0" fillId="12" borderId="35" xfId="0" applyNumberFormat="1" applyFont="1" applyFill="1" applyBorder="1" applyAlignment="1">
      <alignment horizontal="left" vertical="center"/>
    </xf>
    <xf numFmtId="0" fontId="0" fillId="12" borderId="0" xfId="0" applyFill="1"/>
    <xf numFmtId="0" fontId="10" fillId="12" borderId="0" xfId="0" applyFont="1" applyFill="1" applyAlignment="1">
      <alignment horizontal="center"/>
    </xf>
    <xf numFmtId="0" fontId="10" fillId="12" borderId="0" xfId="0" applyFont="1" applyFill="1" applyAlignment="1">
      <alignment horizontal="center"/>
    </xf>
    <xf numFmtId="0" fontId="0" fillId="13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0" fontId="17" fillId="6" borderId="1" xfId="0" applyFont="1" applyFill="1" applyBorder="1" applyAlignment="1">
      <alignment horizontal="center"/>
    </xf>
    <xf numFmtId="0" fontId="17" fillId="6" borderId="2" xfId="0" applyFont="1" applyFill="1" applyBorder="1" applyAlignment="1">
      <alignment horizontal="center"/>
    </xf>
    <xf numFmtId="0" fontId="17" fillId="6" borderId="3" xfId="0" applyFont="1" applyFill="1" applyBorder="1" applyAlignment="1">
      <alignment horizontal="center"/>
    </xf>
    <xf numFmtId="0" fontId="0" fillId="8" borderId="0" xfId="0" applyFill="1" applyBorder="1"/>
    <xf numFmtId="14" fontId="0" fillId="8" borderId="0" xfId="0" applyNumberFormat="1" applyFill="1" applyBorder="1"/>
  </cellXfs>
  <cellStyles count="4">
    <cellStyle name="Hiperlink" xfId="2" builtinId="8"/>
    <cellStyle name="Moeda" xfId="1" builtinId="4"/>
    <cellStyle name="Normal" xfId="0" builtinId="0"/>
    <cellStyle name="Vírgula" xfId="3" builtinId="3"/>
  </cellStyles>
  <dxfs count="100"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5" formatCode="_-* #,##0.00_-;\-* #,##0.00_-;_-* &quot;-&quot;??_-;_-@_-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0.249977111117893"/>
        </patternFill>
      </fill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ela 1" pivot="0" count="0" xr9:uid="{40C80014-AE60-407B-84C2-5DD93F2CBE53}"/>
  </tableStyles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SERVI&#199;OS!A1"/><Relationship Id="rId2" Type="http://schemas.openxmlformats.org/officeDocument/2006/relationships/hyperlink" Target="#'DADOS FUNCION&#193;RIOS'!A1"/><Relationship Id="rId1" Type="http://schemas.openxmlformats.org/officeDocument/2006/relationships/hyperlink" Target="#'DADOS CLIENTES'!A1"/><Relationship Id="rId6" Type="http://schemas.openxmlformats.org/officeDocument/2006/relationships/hyperlink" Target="#'RESUMOS COMISS&#213;ES'!A1"/><Relationship Id="rId5" Type="http://schemas.openxmlformats.org/officeDocument/2006/relationships/hyperlink" Target="#'RESUMOS PAGAMENTOS'!A1"/><Relationship Id="rId4" Type="http://schemas.openxmlformats.org/officeDocument/2006/relationships/hyperlink" Target="#'RESUMO SERVICO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2</xdr:row>
      <xdr:rowOff>0</xdr:rowOff>
    </xdr:from>
    <xdr:to>
      <xdr:col>7</xdr:col>
      <xdr:colOff>0</xdr:colOff>
      <xdr:row>6</xdr:row>
      <xdr:rowOff>0</xdr:rowOff>
    </xdr:to>
    <xdr:sp macro="[0]!Macro2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85EA433-03A4-D048-30EE-FA0A25BF20D0}"/>
            </a:ext>
          </a:extLst>
        </xdr:cNvPr>
        <xdr:cNvSpPr/>
      </xdr:nvSpPr>
      <xdr:spPr>
        <a:xfrm>
          <a:off x="8350250" y="368300"/>
          <a:ext cx="1454150" cy="7366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CADASTRO</a:t>
          </a:r>
          <a:r>
            <a:rPr lang="pt-BR" sz="1200" b="1" baseline="0"/>
            <a:t> </a:t>
          </a:r>
        </a:p>
        <a:p>
          <a:pPr algn="ctr"/>
          <a:r>
            <a:rPr lang="pt-BR" sz="1200" b="1" baseline="0"/>
            <a:t>DE </a:t>
          </a:r>
        </a:p>
        <a:p>
          <a:pPr algn="ctr"/>
          <a:r>
            <a:rPr lang="pt-BR" sz="1200" b="1" baseline="0"/>
            <a:t>CLIENTES</a:t>
          </a:r>
          <a:endParaRPr lang="pt-BR" sz="1200" b="1"/>
        </a:p>
      </xdr:txBody>
    </xdr:sp>
    <xdr:clientData/>
  </xdr:twoCellAnchor>
  <xdr:twoCellAnchor>
    <xdr:from>
      <xdr:col>5</xdr:col>
      <xdr:colOff>279400</xdr:colOff>
      <xdr:row>7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415524-9292-D43B-2C62-AFF4F105B81E}"/>
            </a:ext>
          </a:extLst>
        </xdr:cNvPr>
        <xdr:cNvSpPr/>
      </xdr:nvSpPr>
      <xdr:spPr>
        <a:xfrm>
          <a:off x="833755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19050</xdr:rowOff>
    </xdr:from>
    <xdr:to>
      <xdr:col>9</xdr:col>
      <xdr:colOff>0</xdr:colOff>
      <xdr:row>6</xdr:row>
      <xdr:rowOff>0</xdr:rowOff>
    </xdr:to>
    <xdr:sp macro="[0]!CADASTRO_FUNCIONARIOS" textlink="">
      <xdr:nvSpPr>
        <xdr:cNvPr id="2" name="Retângulo: Cantos Diagonais Arredondados 1">
          <a:extLst>
            <a:ext uri="{FF2B5EF4-FFF2-40B4-BE49-F238E27FC236}">
              <a16:creationId xmlns:a16="http://schemas.microsoft.com/office/drawing/2014/main" id="{399CD819-5D9C-2B24-4246-74F4DCEB850D}"/>
            </a:ext>
          </a:extLst>
        </xdr:cNvPr>
        <xdr:cNvSpPr/>
      </xdr:nvSpPr>
      <xdr:spPr>
        <a:xfrm>
          <a:off x="8305800" y="203200"/>
          <a:ext cx="1581150" cy="90170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CADASTRO</a:t>
          </a:r>
        </a:p>
        <a:p>
          <a:pPr algn="ctr"/>
          <a:r>
            <a:rPr lang="pt-BR" sz="1400" b="1" baseline="0"/>
            <a:t> DE</a:t>
          </a:r>
        </a:p>
        <a:p>
          <a:pPr algn="ctr"/>
          <a:r>
            <a:rPr lang="pt-BR" sz="1400" b="1" baseline="0"/>
            <a:t> FUNCINÁRIOS</a:t>
          </a:r>
          <a:endParaRPr lang="pt-BR" sz="1400" b="1"/>
        </a:p>
      </xdr:txBody>
    </xdr:sp>
    <xdr:clientData/>
  </xdr:twoCellAnchor>
  <xdr:twoCellAnchor>
    <xdr:from>
      <xdr:col>6</xdr:col>
      <xdr:colOff>361950</xdr:colOff>
      <xdr:row>7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B66D2-5408-4F1F-B11A-570691A6C6F5}"/>
            </a:ext>
          </a:extLst>
        </xdr:cNvPr>
        <xdr:cNvSpPr/>
      </xdr:nvSpPr>
      <xdr:spPr>
        <a:xfrm>
          <a:off x="842010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203200</xdr:rowOff>
    </xdr:from>
    <xdr:to>
      <xdr:col>14</xdr:col>
      <xdr:colOff>673100</xdr:colOff>
      <xdr:row>0</xdr:row>
      <xdr:rowOff>660400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E748003-D3F9-4A92-9D76-AD37DBE2312B}"/>
            </a:ext>
          </a:extLst>
        </xdr:cNvPr>
        <xdr:cNvSpPr/>
      </xdr:nvSpPr>
      <xdr:spPr>
        <a:xfrm>
          <a:off x="996950" y="20320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MINHA</a:t>
          </a:r>
          <a:r>
            <a:rPr lang="pt-BR" sz="2400" b="1" baseline="0"/>
            <a:t> EMPRESA S/A</a:t>
          </a:r>
          <a:endParaRPr lang="pt-BR" sz="2400" b="1"/>
        </a:p>
      </xdr:txBody>
    </xdr:sp>
    <xdr:clientData/>
  </xdr:twoCellAnchor>
  <xdr:twoCellAnchor>
    <xdr:from>
      <xdr:col>11</xdr:col>
      <xdr:colOff>171450</xdr:colOff>
      <xdr:row>12</xdr:row>
      <xdr:rowOff>111125</xdr:rowOff>
    </xdr:from>
    <xdr:to>
      <xdr:col>13</xdr:col>
      <xdr:colOff>667400</xdr:colOff>
      <xdr:row>14</xdr:row>
      <xdr:rowOff>107075</xdr:rowOff>
    </xdr:to>
    <xdr:sp macro="[0]!Macro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5C2F77-C330-4D99-A627-A9F7E4F5CD5F}"/>
            </a:ext>
          </a:extLst>
        </xdr:cNvPr>
        <xdr:cNvSpPr/>
      </xdr:nvSpPr>
      <xdr:spPr>
        <a:xfrm>
          <a:off x="8870950" y="3724275"/>
          <a:ext cx="1454800" cy="3769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9</xdr:col>
      <xdr:colOff>114300</xdr:colOff>
      <xdr:row>12</xdr:row>
      <xdr:rowOff>152400</xdr:rowOff>
    </xdr:from>
    <xdr:to>
      <xdr:col>10</xdr:col>
      <xdr:colOff>822975</xdr:colOff>
      <xdr:row>14</xdr:row>
      <xdr:rowOff>148350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6772568-70B1-46A0-937E-831AF9A55672}"/>
            </a:ext>
          </a:extLst>
        </xdr:cNvPr>
        <xdr:cNvSpPr/>
      </xdr:nvSpPr>
      <xdr:spPr>
        <a:xfrm>
          <a:off x="6858000" y="3695700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CANCELAR</a:t>
          </a:r>
        </a:p>
      </xdr:txBody>
    </xdr:sp>
    <xdr:clientData/>
  </xdr:twoCellAnchor>
  <xdr:twoCellAnchor>
    <xdr:from>
      <xdr:col>13</xdr:col>
      <xdr:colOff>152400</xdr:colOff>
      <xdr:row>0</xdr:row>
      <xdr:rowOff>82550</xdr:rowOff>
    </xdr:from>
    <xdr:to>
      <xdr:col>15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D17D5F-D464-4313-A09D-D94C7596E414}"/>
            </a:ext>
          </a:extLst>
        </xdr:cNvPr>
        <xdr:cNvSpPr/>
      </xdr:nvSpPr>
      <xdr:spPr>
        <a:xfrm>
          <a:off x="9042400" y="825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644525</xdr:rowOff>
    </xdr:from>
    <xdr:to>
      <xdr:col>4</xdr:col>
      <xdr:colOff>231775</xdr:colOff>
      <xdr:row>6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ANO PAGAMENTO 1">
              <a:extLst>
                <a:ext uri="{FF2B5EF4-FFF2-40B4-BE49-F238E27FC236}">
                  <a16:creationId xmlns:a16="http://schemas.microsoft.com/office/drawing/2014/main" id="{36E9B700-809F-4AFE-ACAE-7C6A2DA65A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AGAMENT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2250" y="644525"/>
              <a:ext cx="1368425" cy="1050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AC8EDE9-C57C-4219-8441-BEB189589A89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6</xdr:row>
      <xdr:rowOff>47625</xdr:rowOff>
    </xdr:from>
    <xdr:to>
      <xdr:col>4</xdr:col>
      <xdr:colOff>196850</xdr:colOff>
      <xdr:row>24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MÊS PAGAMENTO 1">
              <a:extLst>
                <a:ext uri="{FF2B5EF4-FFF2-40B4-BE49-F238E27FC236}">
                  <a16:creationId xmlns:a16="http://schemas.microsoft.com/office/drawing/2014/main" id="{F00D1CE2-2136-47EE-8B07-300790BC37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AGAMENT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2250" y="1743075"/>
              <a:ext cx="1333500" cy="3267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12</xdr:col>
      <xdr:colOff>869950</xdr:colOff>
      <xdr:row>0</xdr:row>
      <xdr:rowOff>0</xdr:rowOff>
    </xdr:from>
    <xdr:to>
      <xdr:col>14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1E377D-4D45-4476-A68D-C3341CE9978F}"/>
            </a:ext>
          </a:extLst>
        </xdr:cNvPr>
        <xdr:cNvSpPr/>
      </xdr:nvSpPr>
      <xdr:spPr>
        <a:xfrm>
          <a:off x="9563100" y="0"/>
          <a:ext cx="1466850" cy="6731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Arial Black" panose="020B0A04020102020204" pitchFamily="34" charset="0"/>
            </a:rPr>
            <a:t>RETORNAR</a:t>
          </a:r>
          <a:r>
            <a:rPr lang="pt-BR" sz="90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90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900" b="1" baseline="0">
              <a:latin typeface="Arial Black" panose="020B0A04020102020204" pitchFamily="34" charset="0"/>
            </a:rPr>
            <a:t> MENU</a:t>
          </a:r>
          <a:endParaRPr lang="pt-BR" sz="90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AB21813-77E7-44B5-BB35-BAFDB6A57168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184150</xdr:colOff>
      <xdr:row>9</xdr:row>
      <xdr:rowOff>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1B8B0C-4739-4898-BE68-A540CAEAD676}"/>
            </a:ext>
          </a:extLst>
        </xdr:cNvPr>
        <xdr:cNvSpPr/>
      </xdr:nvSpPr>
      <xdr:spPr>
        <a:xfrm>
          <a:off x="5715000" y="152400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127001</xdr:colOff>
      <xdr:row>0</xdr:row>
      <xdr:rowOff>69850</xdr:rowOff>
    </xdr:from>
    <xdr:to>
      <xdr:col>13</xdr:col>
      <xdr:colOff>1576917</xdr:colOff>
      <xdr:row>0</xdr:row>
      <xdr:rowOff>527050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1BC506-5FCE-4789-A278-BDE9A0C29207}"/>
            </a:ext>
          </a:extLst>
        </xdr:cNvPr>
        <xdr:cNvSpPr/>
      </xdr:nvSpPr>
      <xdr:spPr>
        <a:xfrm>
          <a:off x="1291168" y="69850"/>
          <a:ext cx="10371666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152400</xdr:colOff>
      <xdr:row>0</xdr:row>
      <xdr:rowOff>561975</xdr:rowOff>
    </xdr:from>
    <xdr:to>
      <xdr:col>3</xdr:col>
      <xdr:colOff>425450</xdr:colOff>
      <xdr:row>13</xdr:row>
      <xdr:rowOff>60325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SERVIÇO">
              <a:extLst>
                <a:ext uri="{FF2B5EF4-FFF2-40B4-BE49-F238E27FC236}">
                  <a16:creationId xmlns:a16="http://schemas.microsoft.com/office/drawing/2014/main" id="{A035A77F-D56A-EE6D-1E92-B9904D1631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0800" y="561975"/>
              <a:ext cx="1092200" cy="2444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155575</xdr:colOff>
      <xdr:row>3</xdr:row>
      <xdr:rowOff>15875</xdr:rowOff>
    </xdr:from>
    <xdr:to>
      <xdr:col>3</xdr:col>
      <xdr:colOff>431800</xdr:colOff>
      <xdr:row>11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SERVIÇO">
              <a:extLst>
                <a:ext uri="{FF2B5EF4-FFF2-40B4-BE49-F238E27FC236}">
                  <a16:creationId xmlns:a16="http://schemas.microsoft.com/office/drawing/2014/main" id="{164BDC77-4AC9-008A-2137-5AF37432E8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3975" y="1133475"/>
              <a:ext cx="1095375" cy="1476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14</xdr:col>
      <xdr:colOff>0</xdr:colOff>
      <xdr:row>0</xdr:row>
      <xdr:rowOff>0</xdr:rowOff>
    </xdr:from>
    <xdr:to>
      <xdr:col>14</xdr:col>
      <xdr:colOff>1466850</xdr:colOff>
      <xdr:row>1</xdr:row>
      <xdr:rowOff>50800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B2C9C6-1797-4F49-95BC-62AF1D358840}"/>
            </a:ext>
          </a:extLst>
        </xdr:cNvPr>
        <xdr:cNvSpPr/>
      </xdr:nvSpPr>
      <xdr:spPr>
        <a:xfrm>
          <a:off x="10541000" y="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241300</xdr:colOff>
      <xdr:row>4</xdr:row>
      <xdr:rowOff>31750</xdr:rowOff>
    </xdr:from>
    <xdr:to>
      <xdr:col>8</xdr:col>
      <xdr:colOff>140500</xdr:colOff>
      <xdr:row>8</xdr:row>
      <xdr:rowOff>51150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C197F3-2554-0F4D-24C5-2B4CEA3B1F60}"/>
            </a:ext>
          </a:extLst>
        </xdr:cNvPr>
        <xdr:cNvSpPr/>
      </xdr:nvSpPr>
      <xdr:spPr>
        <a:xfrm>
          <a:off x="3060700" y="946150"/>
          <a:ext cx="1728000" cy="756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Clientes</a:t>
          </a:r>
        </a:p>
      </xdr:txBody>
    </xdr:sp>
    <xdr:clientData/>
  </xdr:twoCellAnchor>
  <xdr:twoCellAnchor>
    <xdr:from>
      <xdr:col>8</xdr:col>
      <xdr:colOff>479425</xdr:colOff>
      <xdr:row>4</xdr:row>
      <xdr:rowOff>31750</xdr:rowOff>
    </xdr:from>
    <xdr:to>
      <xdr:col>11</xdr:col>
      <xdr:colOff>378625</xdr:colOff>
      <xdr:row>8</xdr:row>
      <xdr:rowOff>51150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2BADBA-4B0A-4FFB-954E-32300B6ED8AA}"/>
            </a:ext>
          </a:extLst>
        </xdr:cNvPr>
        <xdr:cNvSpPr/>
      </xdr:nvSpPr>
      <xdr:spPr>
        <a:xfrm>
          <a:off x="5127625" y="946150"/>
          <a:ext cx="1728000" cy="756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/>
  </xdr:twoCellAnchor>
  <xdr:twoCellAnchor>
    <xdr:from>
      <xdr:col>12</xdr:col>
      <xdr:colOff>107950</xdr:colOff>
      <xdr:row>4</xdr:row>
      <xdr:rowOff>31750</xdr:rowOff>
    </xdr:from>
    <xdr:to>
      <xdr:col>15</xdr:col>
      <xdr:colOff>7150</xdr:colOff>
      <xdr:row>8</xdr:row>
      <xdr:rowOff>51150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DA38F5-39A7-482A-8FEC-6614FC5E0E9B}"/>
            </a:ext>
          </a:extLst>
        </xdr:cNvPr>
        <xdr:cNvSpPr/>
      </xdr:nvSpPr>
      <xdr:spPr>
        <a:xfrm>
          <a:off x="7194550" y="946150"/>
          <a:ext cx="1728000" cy="756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Serviços</a:t>
          </a:r>
        </a:p>
      </xdr:txBody>
    </xdr:sp>
    <xdr:clientData/>
  </xdr:twoCellAnchor>
  <xdr:twoCellAnchor>
    <xdr:from>
      <xdr:col>5</xdr:col>
      <xdr:colOff>241300</xdr:colOff>
      <xdr:row>11</xdr:row>
      <xdr:rowOff>6175</xdr:rowOff>
    </xdr:from>
    <xdr:to>
      <xdr:col>8</xdr:col>
      <xdr:colOff>140500</xdr:colOff>
      <xdr:row>15</xdr:row>
      <xdr:rowOff>25575</xdr:rowOff>
    </xdr:to>
    <xdr:sp macro="" textlink="">
      <xdr:nvSpPr>
        <xdr:cNvPr id="12" name="Retângulo: Cantos Arredondado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00B713E-9800-40B5-8C55-C260E98FDA50}"/>
            </a:ext>
          </a:extLst>
        </xdr:cNvPr>
        <xdr:cNvSpPr/>
      </xdr:nvSpPr>
      <xdr:spPr>
        <a:xfrm>
          <a:off x="3060700" y="2209625"/>
          <a:ext cx="1728000" cy="756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Resumo</a:t>
          </a:r>
          <a:r>
            <a:rPr lang="pt-BR" sz="1800" baseline="0"/>
            <a:t> Serviçoes</a:t>
          </a:r>
          <a:endParaRPr lang="pt-BR" sz="1800"/>
        </a:p>
      </xdr:txBody>
    </xdr:sp>
    <xdr:clientData/>
  </xdr:twoCellAnchor>
  <xdr:twoCellAnchor>
    <xdr:from>
      <xdr:col>8</xdr:col>
      <xdr:colOff>475850</xdr:colOff>
      <xdr:row>11</xdr:row>
      <xdr:rowOff>6175</xdr:rowOff>
    </xdr:from>
    <xdr:to>
      <xdr:col>11</xdr:col>
      <xdr:colOff>375050</xdr:colOff>
      <xdr:row>15</xdr:row>
      <xdr:rowOff>25575</xdr:rowOff>
    </xdr:to>
    <xdr:sp macro="" textlink="">
      <xdr:nvSpPr>
        <xdr:cNvPr id="13" name="Retângulo: Cantos Arredondados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AA725F-89C4-439F-9DAB-9AB2DEC1DD14}"/>
            </a:ext>
          </a:extLst>
        </xdr:cNvPr>
        <xdr:cNvSpPr/>
      </xdr:nvSpPr>
      <xdr:spPr>
        <a:xfrm>
          <a:off x="5124050" y="2209625"/>
          <a:ext cx="1728000" cy="756000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Resumo Pagamentos</a:t>
          </a:r>
        </a:p>
      </xdr:txBody>
    </xdr:sp>
    <xdr:clientData/>
  </xdr:twoCellAnchor>
  <xdr:twoCellAnchor>
    <xdr:from>
      <xdr:col>12</xdr:col>
      <xdr:colOff>100800</xdr:colOff>
      <xdr:row>11</xdr:row>
      <xdr:rowOff>0</xdr:rowOff>
    </xdr:from>
    <xdr:to>
      <xdr:col>15</xdr:col>
      <xdr:colOff>0</xdr:colOff>
      <xdr:row>15</xdr:row>
      <xdr:rowOff>19400</xdr:rowOff>
    </xdr:to>
    <xdr:sp macro="" textlink="">
      <xdr:nvSpPr>
        <xdr:cNvPr id="14" name="Retângulo: Cantos Arredondado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64C048-95C3-4375-B05E-F63499F0F5FF}"/>
            </a:ext>
          </a:extLst>
        </xdr:cNvPr>
        <xdr:cNvSpPr/>
      </xdr:nvSpPr>
      <xdr:spPr>
        <a:xfrm>
          <a:off x="7187400" y="2216150"/>
          <a:ext cx="1728000" cy="756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 cap="none" spc="0">
              <a:ln w="0"/>
              <a:solidFill>
                <a:schemeClr val="bg1">
                  <a:lumMod val="9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Resumo</a:t>
          </a:r>
          <a:r>
            <a:rPr lang="pt-BR" sz="1800" baseline="0">
              <a:solidFill>
                <a:schemeClr val="bg1">
                  <a:lumMod val="95000"/>
                </a:schemeClr>
              </a:solidFill>
            </a:rPr>
            <a:t> comissões</a:t>
          </a:r>
          <a:endParaRPr lang="pt-BR" sz="18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uana" refreshedDate="45102.666045717589" createdVersion="8" refreshedVersion="8" minRefreshableVersion="3" recordCount="93" xr:uid="{66A3ECE5-720B-4C31-963D-39504B0F43A5}">
  <cacheSource type="worksheet">
    <worksheetSource ref="A1:O1048576" sheet="DADOS VENDAS"/>
  </cacheSource>
  <cacheFields count="15">
    <cacheField name="NOME" numFmtId="0">
      <sharedItems containsBlank="1" count="5">
        <s v="SICRANO DA SILVA"/>
        <s v="ZE DO POVO"/>
        <s v="BELTRANO DE SOUSA"/>
        <s v="JOAO NINGUEM"/>
        <m/>
      </sharedItems>
    </cacheField>
    <cacheField name="CPF" numFmtId="0">
      <sharedItems containsString="0" containsBlank="1" containsNumber="1" containsInteger="1" minValue="1010101010" maxValue="3030303030303"/>
    </cacheField>
    <cacheField name="TELEFONE " numFmtId="0">
      <sharedItems containsString="0" containsBlank="1" containsNumber="1" containsInteger="1" minValue="22222" maxValue="1122334445"/>
    </cacheField>
    <cacheField name="E-MAIL" numFmtId="0">
      <sharedItems containsBlank="1"/>
    </cacheField>
    <cacheField name="SERVIÇO" numFmtId="0">
      <sharedItems containsBlank="1" count="6">
        <s v="merenda"/>
        <s v="janta"/>
        <s v="ALMOCO"/>
        <s v="Transporte"/>
        <s v="PRAIEIRO"/>
        <m/>
      </sharedItems>
    </cacheField>
    <cacheField name="DATA SERVIÇO" numFmtId="0">
      <sharedItems containsNonDate="0" containsDate="1" containsString="0" containsBlank="1" minDate="2023-01-12T00:00:00" maxDate="2023-05-25T00:00:00" count="5">
        <d v="2023-05-24T00:00:00"/>
        <d v="2023-02-21T00:00:00"/>
        <d v="2023-03-23T00:00:00"/>
        <d v="2023-01-12T00:00:00"/>
        <m/>
      </sharedItems>
    </cacheField>
    <cacheField name="DATA PAGAMENTO" numFmtId="0">
      <sharedItems containsNonDate="0" containsDate="1" containsString="0" containsBlank="1" minDate="2023-01-12T00:00:00" maxDate="2024-03-01T00:00:00" count="32">
        <d v="2023-05-30T00:00:00"/>
        <d v="2023-06-30T00:00:00"/>
        <d v="2023-07-30T00:00:00"/>
        <d v="2023-08-30T00:00:00"/>
        <d v="2023-09-30T00:00:00"/>
        <d v="2023-10-30T00:00:00"/>
        <d v="2023-11-30T00:00:00"/>
        <d v="2023-12-30T00:00:00"/>
        <d v="2024-01-30T00:00:00"/>
        <d v="2024-02-29T00:00:00"/>
        <d v="2023-02-25T00:00:00"/>
        <d v="2023-03-25T00:00:00"/>
        <d v="2023-04-25T00:00:00"/>
        <d v="2023-05-25T00:00:00"/>
        <d v="2023-06-25T00:00:00"/>
        <d v="2023-07-25T00:00:00"/>
        <d v="2023-08-25T00:00:00"/>
        <d v="2023-09-25T00:00:00"/>
        <d v="2023-10-25T00:00:00"/>
        <d v="2023-11-25T00:00:00"/>
        <d v="2023-03-29T00:00:00"/>
        <d v="2023-04-29T00:00:00"/>
        <d v="2023-05-29T00:00:00"/>
        <d v="2023-06-29T00:00:00"/>
        <d v="2023-07-29T00:00:00"/>
        <d v="2023-01-12T00:00:00"/>
        <d v="2023-02-12T00:00:00"/>
        <d v="2023-03-12T00:00:00"/>
        <d v="2023-04-12T00:00:00"/>
        <d v="2023-05-12T00:00:00"/>
        <d v="2023-06-12T00:00:00"/>
        <m/>
      </sharedItems>
    </cacheField>
    <cacheField name="VALOR SERVIÇO" numFmtId="0">
      <sharedItems containsString="0" containsBlank="1" containsNumber="1" containsInteger="1" minValue="150" maxValue="4560"/>
    </cacheField>
    <cacheField name="PARCELAS" numFmtId="0">
      <sharedItems containsString="0" containsBlank="1" containsNumber="1" containsInteger="1" minValue="1" maxValue="10" count="11">
        <n v="10"/>
        <n v="5"/>
        <n v="6"/>
        <m/>
        <n v="3" u="1"/>
        <n v="7" u="1"/>
        <n v="8" u="1"/>
        <n v="4" u="1"/>
        <n v="2" u="1"/>
        <n v="9" u="1"/>
        <n v="1" u="1"/>
      </sharedItems>
    </cacheField>
    <cacheField name="N_PARCELA" numFmtId="0">
      <sharedItems containsString="0" containsBlank="1" containsNumber="1" containsInteger="1" minValue="1" maxValue="10" count="11">
        <n v="1"/>
        <n v="2"/>
        <n v="3"/>
        <n v="4"/>
        <n v="5"/>
        <n v="6"/>
        <n v="7"/>
        <n v="8"/>
        <n v="9"/>
        <n v="10"/>
        <m/>
      </sharedItems>
    </cacheField>
    <cacheField name="VALOR PARCELA" numFmtId="0">
      <sharedItems containsString="0" containsBlank="1" containsNumber="1" minValue="15" maxValue="570" count="12">
        <n v="34"/>
        <n v="45.6"/>
        <n v="15"/>
        <n v="54.2"/>
        <n v="24"/>
        <n v="50"/>
        <n v="60"/>
        <m/>
        <n v="18.75" u="1"/>
        <n v="77.428571428571431" u="1"/>
        <n v="570" u="1"/>
        <n v="37.777777777777779" u="1"/>
      </sharedItems>
    </cacheField>
    <cacheField name="MÊS SERVIÇO" numFmtId="0">
      <sharedItems containsBlank="1" count="5">
        <s v="maio"/>
        <s v="fevereiro"/>
        <s v="março"/>
        <s v="janeiro"/>
        <m/>
      </sharedItems>
    </cacheField>
    <cacheField name="ANO SERVIÇO" numFmtId="0">
      <sharedItems containsBlank="1" count="2">
        <s v="2023"/>
        <m/>
      </sharedItems>
    </cacheField>
    <cacheField name="MÊS PAGAMENTO" numFmtId="0">
      <sharedItems containsBlank="1" count="13">
        <s v="maio"/>
        <s v="junho"/>
        <s v="julho"/>
        <s v="agosto"/>
        <s v="setembro"/>
        <s v="outubro"/>
        <s v="novembro"/>
        <s v="dezembro"/>
        <s v="janeiro"/>
        <s v="fevereiro"/>
        <s v="março"/>
        <s v="abril"/>
        <m/>
      </sharedItems>
    </cacheField>
    <cacheField name="ANO PAGAMENTO" numFmtId="0">
      <sharedItems containsBlank="1" count="3">
        <s v="2023"/>
        <s v="2024"/>
        <m/>
      </sharedItems>
    </cacheField>
  </cacheFields>
  <extLst>
    <ext xmlns:x14="http://schemas.microsoft.com/office/spreadsheetml/2009/9/main" uri="{725AE2AE-9491-48be-B2B4-4EB974FC3084}">
      <x14:pivotCacheDefinition pivotCacheId="65148538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n v="202020202020"/>
    <n v="22222"/>
    <s v="B@"/>
    <x v="0"/>
    <x v="0"/>
    <x v="0"/>
    <n v="340"/>
    <x v="0"/>
    <x v="0"/>
    <x v="0"/>
    <x v="0"/>
    <x v="0"/>
    <x v="0"/>
    <x v="0"/>
  </r>
  <r>
    <x v="0"/>
    <n v="202020202020"/>
    <n v="22222"/>
    <s v="B@"/>
    <x v="0"/>
    <x v="0"/>
    <x v="1"/>
    <m/>
    <x v="0"/>
    <x v="1"/>
    <x v="0"/>
    <x v="0"/>
    <x v="0"/>
    <x v="1"/>
    <x v="0"/>
  </r>
  <r>
    <x v="0"/>
    <n v="202020202020"/>
    <n v="22222"/>
    <s v="B@"/>
    <x v="0"/>
    <x v="0"/>
    <x v="2"/>
    <m/>
    <x v="0"/>
    <x v="2"/>
    <x v="0"/>
    <x v="0"/>
    <x v="0"/>
    <x v="2"/>
    <x v="0"/>
  </r>
  <r>
    <x v="0"/>
    <n v="202020202020"/>
    <n v="22222"/>
    <s v="B@"/>
    <x v="0"/>
    <x v="0"/>
    <x v="3"/>
    <m/>
    <x v="0"/>
    <x v="3"/>
    <x v="0"/>
    <x v="0"/>
    <x v="0"/>
    <x v="3"/>
    <x v="0"/>
  </r>
  <r>
    <x v="0"/>
    <n v="202020202020"/>
    <n v="22222"/>
    <s v="B@"/>
    <x v="0"/>
    <x v="0"/>
    <x v="4"/>
    <m/>
    <x v="0"/>
    <x v="4"/>
    <x v="0"/>
    <x v="0"/>
    <x v="0"/>
    <x v="4"/>
    <x v="0"/>
  </r>
  <r>
    <x v="0"/>
    <n v="202020202020"/>
    <n v="22222"/>
    <s v="B@"/>
    <x v="0"/>
    <x v="0"/>
    <x v="5"/>
    <m/>
    <x v="0"/>
    <x v="5"/>
    <x v="0"/>
    <x v="0"/>
    <x v="0"/>
    <x v="5"/>
    <x v="0"/>
  </r>
  <r>
    <x v="0"/>
    <n v="202020202020"/>
    <n v="22222"/>
    <s v="B@"/>
    <x v="0"/>
    <x v="0"/>
    <x v="6"/>
    <m/>
    <x v="0"/>
    <x v="6"/>
    <x v="0"/>
    <x v="0"/>
    <x v="0"/>
    <x v="6"/>
    <x v="0"/>
  </r>
  <r>
    <x v="0"/>
    <n v="202020202020"/>
    <n v="22222"/>
    <s v="B@"/>
    <x v="0"/>
    <x v="0"/>
    <x v="7"/>
    <m/>
    <x v="0"/>
    <x v="7"/>
    <x v="0"/>
    <x v="0"/>
    <x v="0"/>
    <x v="7"/>
    <x v="0"/>
  </r>
  <r>
    <x v="0"/>
    <n v="202020202020"/>
    <n v="22222"/>
    <s v="B@"/>
    <x v="0"/>
    <x v="0"/>
    <x v="8"/>
    <m/>
    <x v="0"/>
    <x v="8"/>
    <x v="0"/>
    <x v="0"/>
    <x v="0"/>
    <x v="8"/>
    <x v="1"/>
  </r>
  <r>
    <x v="0"/>
    <n v="202020202020"/>
    <n v="22222"/>
    <s v="B@"/>
    <x v="0"/>
    <x v="0"/>
    <x v="9"/>
    <m/>
    <x v="0"/>
    <x v="9"/>
    <x v="0"/>
    <x v="0"/>
    <x v="0"/>
    <x v="9"/>
    <x v="1"/>
  </r>
  <r>
    <x v="0"/>
    <n v="202020202020"/>
    <n v="22222"/>
    <s v="B@"/>
    <x v="1"/>
    <x v="0"/>
    <x v="0"/>
    <n v="340"/>
    <x v="0"/>
    <x v="0"/>
    <x v="0"/>
    <x v="0"/>
    <x v="0"/>
    <x v="0"/>
    <x v="0"/>
  </r>
  <r>
    <x v="0"/>
    <n v="202020202020"/>
    <n v="22222"/>
    <s v="B@"/>
    <x v="1"/>
    <x v="0"/>
    <x v="1"/>
    <m/>
    <x v="0"/>
    <x v="1"/>
    <x v="0"/>
    <x v="0"/>
    <x v="0"/>
    <x v="1"/>
    <x v="0"/>
  </r>
  <r>
    <x v="0"/>
    <n v="202020202020"/>
    <n v="22222"/>
    <s v="B@"/>
    <x v="1"/>
    <x v="0"/>
    <x v="2"/>
    <m/>
    <x v="0"/>
    <x v="2"/>
    <x v="0"/>
    <x v="0"/>
    <x v="0"/>
    <x v="2"/>
    <x v="0"/>
  </r>
  <r>
    <x v="0"/>
    <n v="202020202020"/>
    <n v="22222"/>
    <s v="B@"/>
    <x v="1"/>
    <x v="0"/>
    <x v="3"/>
    <m/>
    <x v="0"/>
    <x v="3"/>
    <x v="0"/>
    <x v="0"/>
    <x v="0"/>
    <x v="3"/>
    <x v="0"/>
  </r>
  <r>
    <x v="0"/>
    <n v="202020202020"/>
    <n v="22222"/>
    <s v="B@"/>
    <x v="1"/>
    <x v="0"/>
    <x v="4"/>
    <m/>
    <x v="0"/>
    <x v="4"/>
    <x v="0"/>
    <x v="0"/>
    <x v="0"/>
    <x v="4"/>
    <x v="0"/>
  </r>
  <r>
    <x v="0"/>
    <n v="202020202020"/>
    <n v="22222"/>
    <s v="B@"/>
    <x v="1"/>
    <x v="0"/>
    <x v="5"/>
    <m/>
    <x v="0"/>
    <x v="5"/>
    <x v="0"/>
    <x v="0"/>
    <x v="0"/>
    <x v="5"/>
    <x v="0"/>
  </r>
  <r>
    <x v="0"/>
    <n v="202020202020"/>
    <n v="22222"/>
    <s v="B@"/>
    <x v="1"/>
    <x v="0"/>
    <x v="6"/>
    <m/>
    <x v="0"/>
    <x v="6"/>
    <x v="0"/>
    <x v="0"/>
    <x v="0"/>
    <x v="6"/>
    <x v="0"/>
  </r>
  <r>
    <x v="0"/>
    <n v="202020202020"/>
    <n v="22222"/>
    <s v="B@"/>
    <x v="1"/>
    <x v="0"/>
    <x v="7"/>
    <m/>
    <x v="0"/>
    <x v="7"/>
    <x v="0"/>
    <x v="0"/>
    <x v="0"/>
    <x v="7"/>
    <x v="0"/>
  </r>
  <r>
    <x v="0"/>
    <n v="202020202020"/>
    <n v="22222"/>
    <s v="B@"/>
    <x v="1"/>
    <x v="0"/>
    <x v="8"/>
    <m/>
    <x v="0"/>
    <x v="8"/>
    <x v="0"/>
    <x v="0"/>
    <x v="0"/>
    <x v="8"/>
    <x v="1"/>
  </r>
  <r>
    <x v="0"/>
    <n v="202020202020"/>
    <n v="22222"/>
    <s v="B@"/>
    <x v="1"/>
    <x v="0"/>
    <x v="9"/>
    <m/>
    <x v="0"/>
    <x v="9"/>
    <x v="0"/>
    <x v="0"/>
    <x v="0"/>
    <x v="9"/>
    <x v="1"/>
  </r>
  <r>
    <x v="1"/>
    <n v="33311122200"/>
    <n v="1122334445"/>
    <s v="ZE@"/>
    <x v="2"/>
    <x v="0"/>
    <x v="0"/>
    <n v="4560"/>
    <x v="0"/>
    <x v="0"/>
    <x v="1"/>
    <x v="0"/>
    <x v="0"/>
    <x v="0"/>
    <x v="0"/>
  </r>
  <r>
    <x v="1"/>
    <n v="33311122200"/>
    <n v="1122334445"/>
    <s v="ZE@"/>
    <x v="2"/>
    <x v="0"/>
    <x v="1"/>
    <m/>
    <x v="0"/>
    <x v="1"/>
    <x v="1"/>
    <x v="0"/>
    <x v="0"/>
    <x v="1"/>
    <x v="0"/>
  </r>
  <r>
    <x v="1"/>
    <n v="33311122200"/>
    <n v="1122334445"/>
    <s v="ZE@"/>
    <x v="2"/>
    <x v="0"/>
    <x v="2"/>
    <m/>
    <x v="0"/>
    <x v="2"/>
    <x v="1"/>
    <x v="0"/>
    <x v="0"/>
    <x v="2"/>
    <x v="0"/>
  </r>
  <r>
    <x v="1"/>
    <n v="33311122200"/>
    <n v="1122334445"/>
    <s v="ZE@"/>
    <x v="2"/>
    <x v="0"/>
    <x v="3"/>
    <m/>
    <x v="0"/>
    <x v="3"/>
    <x v="1"/>
    <x v="0"/>
    <x v="0"/>
    <x v="3"/>
    <x v="0"/>
  </r>
  <r>
    <x v="1"/>
    <n v="33311122200"/>
    <n v="1122334445"/>
    <s v="ZE@"/>
    <x v="2"/>
    <x v="0"/>
    <x v="4"/>
    <m/>
    <x v="0"/>
    <x v="4"/>
    <x v="1"/>
    <x v="0"/>
    <x v="0"/>
    <x v="4"/>
    <x v="0"/>
  </r>
  <r>
    <x v="1"/>
    <n v="33311122200"/>
    <n v="1122334445"/>
    <s v="ZE@"/>
    <x v="2"/>
    <x v="0"/>
    <x v="5"/>
    <m/>
    <x v="0"/>
    <x v="5"/>
    <x v="1"/>
    <x v="0"/>
    <x v="0"/>
    <x v="5"/>
    <x v="0"/>
  </r>
  <r>
    <x v="1"/>
    <n v="33311122200"/>
    <n v="1122334445"/>
    <s v="ZE@"/>
    <x v="2"/>
    <x v="0"/>
    <x v="6"/>
    <m/>
    <x v="0"/>
    <x v="6"/>
    <x v="1"/>
    <x v="0"/>
    <x v="0"/>
    <x v="6"/>
    <x v="0"/>
  </r>
  <r>
    <x v="1"/>
    <n v="33311122200"/>
    <n v="1122334445"/>
    <s v="ZE@"/>
    <x v="2"/>
    <x v="0"/>
    <x v="7"/>
    <m/>
    <x v="0"/>
    <x v="7"/>
    <x v="1"/>
    <x v="0"/>
    <x v="0"/>
    <x v="7"/>
    <x v="0"/>
  </r>
  <r>
    <x v="1"/>
    <n v="33311122200"/>
    <n v="1122334445"/>
    <s v="ZE@"/>
    <x v="2"/>
    <x v="0"/>
    <x v="8"/>
    <m/>
    <x v="0"/>
    <x v="8"/>
    <x v="1"/>
    <x v="0"/>
    <x v="0"/>
    <x v="8"/>
    <x v="1"/>
  </r>
  <r>
    <x v="1"/>
    <n v="33311122200"/>
    <n v="1122334445"/>
    <s v="ZE@"/>
    <x v="2"/>
    <x v="0"/>
    <x v="9"/>
    <m/>
    <x v="0"/>
    <x v="9"/>
    <x v="1"/>
    <x v="0"/>
    <x v="0"/>
    <x v="9"/>
    <x v="1"/>
  </r>
  <r>
    <x v="1"/>
    <n v="33311122200"/>
    <n v="1122334445"/>
    <s v="ZE@"/>
    <x v="2"/>
    <x v="0"/>
    <x v="0"/>
    <n v="4560"/>
    <x v="0"/>
    <x v="0"/>
    <x v="1"/>
    <x v="0"/>
    <x v="0"/>
    <x v="0"/>
    <x v="0"/>
  </r>
  <r>
    <x v="1"/>
    <n v="33311122200"/>
    <n v="1122334445"/>
    <s v="ZE@"/>
    <x v="2"/>
    <x v="0"/>
    <x v="1"/>
    <m/>
    <x v="0"/>
    <x v="1"/>
    <x v="1"/>
    <x v="0"/>
    <x v="0"/>
    <x v="1"/>
    <x v="0"/>
  </r>
  <r>
    <x v="1"/>
    <n v="33311122200"/>
    <n v="1122334445"/>
    <s v="ZE@"/>
    <x v="2"/>
    <x v="0"/>
    <x v="2"/>
    <m/>
    <x v="0"/>
    <x v="2"/>
    <x v="1"/>
    <x v="0"/>
    <x v="0"/>
    <x v="2"/>
    <x v="0"/>
  </r>
  <r>
    <x v="1"/>
    <n v="33311122200"/>
    <n v="1122334445"/>
    <s v="ZE@"/>
    <x v="2"/>
    <x v="0"/>
    <x v="3"/>
    <m/>
    <x v="0"/>
    <x v="3"/>
    <x v="1"/>
    <x v="0"/>
    <x v="0"/>
    <x v="3"/>
    <x v="0"/>
  </r>
  <r>
    <x v="1"/>
    <n v="33311122200"/>
    <n v="1122334445"/>
    <s v="ZE@"/>
    <x v="2"/>
    <x v="0"/>
    <x v="4"/>
    <m/>
    <x v="0"/>
    <x v="4"/>
    <x v="1"/>
    <x v="0"/>
    <x v="0"/>
    <x v="4"/>
    <x v="0"/>
  </r>
  <r>
    <x v="1"/>
    <n v="33311122200"/>
    <n v="1122334445"/>
    <s v="ZE@"/>
    <x v="2"/>
    <x v="0"/>
    <x v="5"/>
    <m/>
    <x v="0"/>
    <x v="5"/>
    <x v="1"/>
    <x v="0"/>
    <x v="0"/>
    <x v="5"/>
    <x v="0"/>
  </r>
  <r>
    <x v="1"/>
    <n v="33311122200"/>
    <n v="1122334445"/>
    <s v="ZE@"/>
    <x v="2"/>
    <x v="0"/>
    <x v="6"/>
    <m/>
    <x v="0"/>
    <x v="6"/>
    <x v="1"/>
    <x v="0"/>
    <x v="0"/>
    <x v="6"/>
    <x v="0"/>
  </r>
  <r>
    <x v="1"/>
    <n v="33311122200"/>
    <n v="1122334445"/>
    <s v="ZE@"/>
    <x v="2"/>
    <x v="0"/>
    <x v="7"/>
    <m/>
    <x v="0"/>
    <x v="7"/>
    <x v="1"/>
    <x v="0"/>
    <x v="0"/>
    <x v="7"/>
    <x v="0"/>
  </r>
  <r>
    <x v="1"/>
    <n v="33311122200"/>
    <n v="1122334445"/>
    <s v="ZE@"/>
    <x v="2"/>
    <x v="0"/>
    <x v="8"/>
    <m/>
    <x v="0"/>
    <x v="8"/>
    <x v="1"/>
    <x v="0"/>
    <x v="0"/>
    <x v="8"/>
    <x v="1"/>
  </r>
  <r>
    <x v="1"/>
    <n v="33311122200"/>
    <n v="1122334445"/>
    <s v="ZE@"/>
    <x v="2"/>
    <x v="0"/>
    <x v="9"/>
    <m/>
    <x v="0"/>
    <x v="9"/>
    <x v="1"/>
    <x v="0"/>
    <x v="0"/>
    <x v="9"/>
    <x v="1"/>
  </r>
  <r>
    <x v="1"/>
    <n v="33311122200"/>
    <n v="1122334445"/>
    <s v="ZE@"/>
    <x v="2"/>
    <x v="0"/>
    <x v="0"/>
    <n v="4560"/>
    <x v="0"/>
    <x v="0"/>
    <x v="1"/>
    <x v="0"/>
    <x v="0"/>
    <x v="0"/>
    <x v="0"/>
  </r>
  <r>
    <x v="1"/>
    <n v="33311122200"/>
    <n v="1122334445"/>
    <s v="ZE@"/>
    <x v="2"/>
    <x v="0"/>
    <x v="1"/>
    <m/>
    <x v="0"/>
    <x v="1"/>
    <x v="1"/>
    <x v="0"/>
    <x v="0"/>
    <x v="1"/>
    <x v="0"/>
  </r>
  <r>
    <x v="1"/>
    <n v="33311122200"/>
    <n v="1122334445"/>
    <s v="ZE@"/>
    <x v="2"/>
    <x v="0"/>
    <x v="2"/>
    <m/>
    <x v="0"/>
    <x v="2"/>
    <x v="1"/>
    <x v="0"/>
    <x v="0"/>
    <x v="2"/>
    <x v="0"/>
  </r>
  <r>
    <x v="1"/>
    <n v="33311122200"/>
    <n v="1122334445"/>
    <s v="ZE@"/>
    <x v="2"/>
    <x v="0"/>
    <x v="3"/>
    <m/>
    <x v="0"/>
    <x v="3"/>
    <x v="1"/>
    <x v="0"/>
    <x v="0"/>
    <x v="3"/>
    <x v="0"/>
  </r>
  <r>
    <x v="1"/>
    <n v="33311122200"/>
    <n v="1122334445"/>
    <s v="ZE@"/>
    <x v="2"/>
    <x v="0"/>
    <x v="4"/>
    <m/>
    <x v="0"/>
    <x v="4"/>
    <x v="1"/>
    <x v="0"/>
    <x v="0"/>
    <x v="4"/>
    <x v="0"/>
  </r>
  <r>
    <x v="1"/>
    <n v="33311122200"/>
    <n v="1122334445"/>
    <s v="ZE@"/>
    <x v="2"/>
    <x v="0"/>
    <x v="5"/>
    <m/>
    <x v="0"/>
    <x v="5"/>
    <x v="1"/>
    <x v="0"/>
    <x v="0"/>
    <x v="5"/>
    <x v="0"/>
  </r>
  <r>
    <x v="1"/>
    <n v="33311122200"/>
    <n v="1122334445"/>
    <s v="ZE@"/>
    <x v="2"/>
    <x v="0"/>
    <x v="6"/>
    <m/>
    <x v="0"/>
    <x v="6"/>
    <x v="1"/>
    <x v="0"/>
    <x v="0"/>
    <x v="6"/>
    <x v="0"/>
  </r>
  <r>
    <x v="1"/>
    <n v="33311122200"/>
    <n v="1122334445"/>
    <s v="ZE@"/>
    <x v="2"/>
    <x v="0"/>
    <x v="7"/>
    <m/>
    <x v="0"/>
    <x v="7"/>
    <x v="1"/>
    <x v="0"/>
    <x v="0"/>
    <x v="7"/>
    <x v="0"/>
  </r>
  <r>
    <x v="1"/>
    <n v="33311122200"/>
    <n v="1122334445"/>
    <s v="ZE@"/>
    <x v="2"/>
    <x v="0"/>
    <x v="8"/>
    <m/>
    <x v="0"/>
    <x v="8"/>
    <x v="1"/>
    <x v="0"/>
    <x v="0"/>
    <x v="8"/>
    <x v="1"/>
  </r>
  <r>
    <x v="1"/>
    <n v="33311122200"/>
    <n v="1122334445"/>
    <s v="ZE@"/>
    <x v="2"/>
    <x v="0"/>
    <x v="9"/>
    <m/>
    <x v="0"/>
    <x v="9"/>
    <x v="1"/>
    <x v="0"/>
    <x v="0"/>
    <x v="9"/>
    <x v="1"/>
  </r>
  <r>
    <x v="1"/>
    <n v="33311122200"/>
    <n v="1122334445"/>
    <s v="ZE@"/>
    <x v="2"/>
    <x v="0"/>
    <x v="0"/>
    <n v="150"/>
    <x v="0"/>
    <x v="0"/>
    <x v="2"/>
    <x v="0"/>
    <x v="0"/>
    <x v="0"/>
    <x v="0"/>
  </r>
  <r>
    <x v="1"/>
    <n v="33311122200"/>
    <n v="1122334445"/>
    <s v="ZE@"/>
    <x v="2"/>
    <x v="0"/>
    <x v="1"/>
    <m/>
    <x v="0"/>
    <x v="1"/>
    <x v="2"/>
    <x v="0"/>
    <x v="0"/>
    <x v="1"/>
    <x v="0"/>
  </r>
  <r>
    <x v="1"/>
    <n v="33311122200"/>
    <n v="1122334445"/>
    <s v="ZE@"/>
    <x v="2"/>
    <x v="0"/>
    <x v="2"/>
    <m/>
    <x v="0"/>
    <x v="2"/>
    <x v="2"/>
    <x v="0"/>
    <x v="0"/>
    <x v="2"/>
    <x v="0"/>
  </r>
  <r>
    <x v="1"/>
    <n v="33311122200"/>
    <n v="1122334445"/>
    <s v="ZE@"/>
    <x v="2"/>
    <x v="0"/>
    <x v="3"/>
    <m/>
    <x v="0"/>
    <x v="3"/>
    <x v="2"/>
    <x v="0"/>
    <x v="0"/>
    <x v="3"/>
    <x v="0"/>
  </r>
  <r>
    <x v="1"/>
    <n v="33311122200"/>
    <n v="1122334445"/>
    <s v="ZE@"/>
    <x v="2"/>
    <x v="0"/>
    <x v="4"/>
    <m/>
    <x v="0"/>
    <x v="4"/>
    <x v="2"/>
    <x v="0"/>
    <x v="0"/>
    <x v="4"/>
    <x v="0"/>
  </r>
  <r>
    <x v="1"/>
    <n v="33311122200"/>
    <n v="1122334445"/>
    <s v="ZE@"/>
    <x v="2"/>
    <x v="0"/>
    <x v="5"/>
    <m/>
    <x v="0"/>
    <x v="5"/>
    <x v="2"/>
    <x v="0"/>
    <x v="0"/>
    <x v="5"/>
    <x v="0"/>
  </r>
  <r>
    <x v="1"/>
    <n v="33311122200"/>
    <n v="1122334445"/>
    <s v="ZE@"/>
    <x v="2"/>
    <x v="0"/>
    <x v="6"/>
    <m/>
    <x v="0"/>
    <x v="6"/>
    <x v="2"/>
    <x v="0"/>
    <x v="0"/>
    <x v="6"/>
    <x v="0"/>
  </r>
  <r>
    <x v="1"/>
    <n v="33311122200"/>
    <n v="1122334445"/>
    <s v="ZE@"/>
    <x v="2"/>
    <x v="0"/>
    <x v="7"/>
    <m/>
    <x v="0"/>
    <x v="7"/>
    <x v="2"/>
    <x v="0"/>
    <x v="0"/>
    <x v="7"/>
    <x v="0"/>
  </r>
  <r>
    <x v="1"/>
    <n v="33311122200"/>
    <n v="1122334445"/>
    <s v="ZE@"/>
    <x v="2"/>
    <x v="0"/>
    <x v="8"/>
    <m/>
    <x v="0"/>
    <x v="8"/>
    <x v="2"/>
    <x v="0"/>
    <x v="0"/>
    <x v="8"/>
    <x v="1"/>
  </r>
  <r>
    <x v="1"/>
    <n v="33311122200"/>
    <n v="1122334445"/>
    <s v="ZE@"/>
    <x v="2"/>
    <x v="0"/>
    <x v="9"/>
    <m/>
    <x v="0"/>
    <x v="9"/>
    <x v="2"/>
    <x v="0"/>
    <x v="0"/>
    <x v="9"/>
    <x v="1"/>
  </r>
  <r>
    <x v="1"/>
    <n v="33311122200"/>
    <n v="1122334445"/>
    <s v="ZE@"/>
    <x v="3"/>
    <x v="1"/>
    <x v="10"/>
    <n v="542"/>
    <x v="0"/>
    <x v="0"/>
    <x v="3"/>
    <x v="1"/>
    <x v="0"/>
    <x v="9"/>
    <x v="0"/>
  </r>
  <r>
    <x v="1"/>
    <n v="33311122200"/>
    <n v="1122334445"/>
    <s v="ZE@"/>
    <x v="3"/>
    <x v="1"/>
    <x v="11"/>
    <m/>
    <x v="0"/>
    <x v="1"/>
    <x v="3"/>
    <x v="1"/>
    <x v="0"/>
    <x v="10"/>
    <x v="0"/>
  </r>
  <r>
    <x v="1"/>
    <n v="33311122200"/>
    <n v="1122334445"/>
    <s v="ZE@"/>
    <x v="3"/>
    <x v="1"/>
    <x v="12"/>
    <m/>
    <x v="0"/>
    <x v="2"/>
    <x v="3"/>
    <x v="1"/>
    <x v="0"/>
    <x v="11"/>
    <x v="0"/>
  </r>
  <r>
    <x v="1"/>
    <n v="33311122200"/>
    <n v="1122334445"/>
    <s v="ZE@"/>
    <x v="3"/>
    <x v="1"/>
    <x v="13"/>
    <m/>
    <x v="0"/>
    <x v="3"/>
    <x v="3"/>
    <x v="1"/>
    <x v="0"/>
    <x v="0"/>
    <x v="0"/>
  </r>
  <r>
    <x v="1"/>
    <n v="33311122200"/>
    <n v="1122334445"/>
    <s v="ZE@"/>
    <x v="3"/>
    <x v="1"/>
    <x v="14"/>
    <m/>
    <x v="0"/>
    <x v="4"/>
    <x v="3"/>
    <x v="1"/>
    <x v="0"/>
    <x v="1"/>
    <x v="0"/>
  </r>
  <r>
    <x v="1"/>
    <n v="33311122200"/>
    <n v="1122334445"/>
    <s v="ZE@"/>
    <x v="3"/>
    <x v="1"/>
    <x v="15"/>
    <m/>
    <x v="0"/>
    <x v="5"/>
    <x v="3"/>
    <x v="1"/>
    <x v="0"/>
    <x v="2"/>
    <x v="0"/>
  </r>
  <r>
    <x v="1"/>
    <n v="33311122200"/>
    <n v="1122334445"/>
    <s v="ZE@"/>
    <x v="3"/>
    <x v="1"/>
    <x v="16"/>
    <m/>
    <x v="0"/>
    <x v="6"/>
    <x v="3"/>
    <x v="1"/>
    <x v="0"/>
    <x v="3"/>
    <x v="0"/>
  </r>
  <r>
    <x v="1"/>
    <n v="33311122200"/>
    <n v="1122334445"/>
    <s v="ZE@"/>
    <x v="3"/>
    <x v="1"/>
    <x v="17"/>
    <m/>
    <x v="0"/>
    <x v="7"/>
    <x v="3"/>
    <x v="1"/>
    <x v="0"/>
    <x v="4"/>
    <x v="0"/>
  </r>
  <r>
    <x v="1"/>
    <n v="33311122200"/>
    <n v="1122334445"/>
    <s v="ZE@"/>
    <x v="3"/>
    <x v="1"/>
    <x v="18"/>
    <m/>
    <x v="0"/>
    <x v="8"/>
    <x v="3"/>
    <x v="1"/>
    <x v="0"/>
    <x v="5"/>
    <x v="0"/>
  </r>
  <r>
    <x v="1"/>
    <n v="33311122200"/>
    <n v="1122334445"/>
    <s v="ZE@"/>
    <x v="3"/>
    <x v="1"/>
    <x v="19"/>
    <m/>
    <x v="0"/>
    <x v="9"/>
    <x v="3"/>
    <x v="1"/>
    <x v="0"/>
    <x v="6"/>
    <x v="0"/>
  </r>
  <r>
    <x v="2"/>
    <n v="1010101010"/>
    <n v="1111111"/>
    <s v="A@"/>
    <x v="4"/>
    <x v="1"/>
    <x v="10"/>
    <n v="240"/>
    <x v="0"/>
    <x v="0"/>
    <x v="4"/>
    <x v="1"/>
    <x v="0"/>
    <x v="9"/>
    <x v="0"/>
  </r>
  <r>
    <x v="2"/>
    <n v="1010101010"/>
    <n v="1111111"/>
    <s v="A@"/>
    <x v="4"/>
    <x v="1"/>
    <x v="11"/>
    <m/>
    <x v="0"/>
    <x v="1"/>
    <x v="4"/>
    <x v="1"/>
    <x v="0"/>
    <x v="10"/>
    <x v="0"/>
  </r>
  <r>
    <x v="2"/>
    <n v="1010101010"/>
    <n v="1111111"/>
    <s v="A@"/>
    <x v="4"/>
    <x v="1"/>
    <x v="12"/>
    <m/>
    <x v="0"/>
    <x v="2"/>
    <x v="4"/>
    <x v="1"/>
    <x v="0"/>
    <x v="11"/>
    <x v="0"/>
  </r>
  <r>
    <x v="2"/>
    <n v="1010101010"/>
    <n v="1111111"/>
    <s v="A@"/>
    <x v="4"/>
    <x v="1"/>
    <x v="13"/>
    <m/>
    <x v="0"/>
    <x v="3"/>
    <x v="4"/>
    <x v="1"/>
    <x v="0"/>
    <x v="0"/>
    <x v="0"/>
  </r>
  <r>
    <x v="2"/>
    <n v="1010101010"/>
    <n v="1111111"/>
    <s v="A@"/>
    <x v="4"/>
    <x v="1"/>
    <x v="14"/>
    <m/>
    <x v="0"/>
    <x v="4"/>
    <x v="4"/>
    <x v="1"/>
    <x v="0"/>
    <x v="1"/>
    <x v="0"/>
  </r>
  <r>
    <x v="2"/>
    <n v="1010101010"/>
    <n v="1111111"/>
    <s v="A@"/>
    <x v="4"/>
    <x v="1"/>
    <x v="15"/>
    <m/>
    <x v="0"/>
    <x v="5"/>
    <x v="4"/>
    <x v="1"/>
    <x v="0"/>
    <x v="2"/>
    <x v="0"/>
  </r>
  <r>
    <x v="2"/>
    <n v="1010101010"/>
    <n v="1111111"/>
    <s v="A@"/>
    <x v="4"/>
    <x v="1"/>
    <x v="16"/>
    <m/>
    <x v="0"/>
    <x v="6"/>
    <x v="4"/>
    <x v="1"/>
    <x v="0"/>
    <x v="3"/>
    <x v="0"/>
  </r>
  <r>
    <x v="2"/>
    <n v="1010101010"/>
    <n v="1111111"/>
    <s v="A@"/>
    <x v="4"/>
    <x v="1"/>
    <x v="17"/>
    <m/>
    <x v="0"/>
    <x v="7"/>
    <x v="4"/>
    <x v="1"/>
    <x v="0"/>
    <x v="4"/>
    <x v="0"/>
  </r>
  <r>
    <x v="2"/>
    <n v="1010101010"/>
    <n v="1111111"/>
    <s v="A@"/>
    <x v="4"/>
    <x v="1"/>
    <x v="18"/>
    <m/>
    <x v="0"/>
    <x v="8"/>
    <x v="4"/>
    <x v="1"/>
    <x v="0"/>
    <x v="5"/>
    <x v="0"/>
  </r>
  <r>
    <x v="2"/>
    <n v="1010101010"/>
    <n v="1111111"/>
    <s v="A@"/>
    <x v="4"/>
    <x v="1"/>
    <x v="19"/>
    <m/>
    <x v="0"/>
    <x v="9"/>
    <x v="4"/>
    <x v="1"/>
    <x v="0"/>
    <x v="6"/>
    <x v="0"/>
  </r>
  <r>
    <x v="0"/>
    <n v="202020202020"/>
    <n v="22222"/>
    <s v="B@"/>
    <x v="4"/>
    <x v="2"/>
    <x v="20"/>
    <n v="250"/>
    <x v="1"/>
    <x v="0"/>
    <x v="5"/>
    <x v="2"/>
    <x v="0"/>
    <x v="10"/>
    <x v="0"/>
  </r>
  <r>
    <x v="0"/>
    <n v="202020202020"/>
    <n v="22222"/>
    <s v="B@"/>
    <x v="4"/>
    <x v="2"/>
    <x v="21"/>
    <m/>
    <x v="1"/>
    <x v="1"/>
    <x v="5"/>
    <x v="2"/>
    <x v="0"/>
    <x v="11"/>
    <x v="0"/>
  </r>
  <r>
    <x v="0"/>
    <n v="202020202020"/>
    <n v="22222"/>
    <s v="B@"/>
    <x v="4"/>
    <x v="2"/>
    <x v="22"/>
    <m/>
    <x v="1"/>
    <x v="2"/>
    <x v="5"/>
    <x v="2"/>
    <x v="0"/>
    <x v="0"/>
    <x v="0"/>
  </r>
  <r>
    <x v="0"/>
    <n v="202020202020"/>
    <n v="22222"/>
    <s v="B@"/>
    <x v="4"/>
    <x v="2"/>
    <x v="23"/>
    <m/>
    <x v="1"/>
    <x v="3"/>
    <x v="5"/>
    <x v="2"/>
    <x v="0"/>
    <x v="1"/>
    <x v="0"/>
  </r>
  <r>
    <x v="0"/>
    <n v="202020202020"/>
    <n v="22222"/>
    <s v="B@"/>
    <x v="4"/>
    <x v="2"/>
    <x v="24"/>
    <m/>
    <x v="1"/>
    <x v="4"/>
    <x v="5"/>
    <x v="2"/>
    <x v="0"/>
    <x v="2"/>
    <x v="0"/>
  </r>
  <r>
    <x v="3"/>
    <n v="3030303030303"/>
    <n v="33333"/>
    <s v="C@"/>
    <x v="4"/>
    <x v="3"/>
    <x v="25"/>
    <n v="360"/>
    <x v="2"/>
    <x v="0"/>
    <x v="6"/>
    <x v="3"/>
    <x v="0"/>
    <x v="8"/>
    <x v="0"/>
  </r>
  <r>
    <x v="3"/>
    <n v="3030303030303"/>
    <n v="33333"/>
    <s v="C@"/>
    <x v="4"/>
    <x v="3"/>
    <x v="26"/>
    <m/>
    <x v="2"/>
    <x v="1"/>
    <x v="6"/>
    <x v="3"/>
    <x v="0"/>
    <x v="9"/>
    <x v="0"/>
  </r>
  <r>
    <x v="3"/>
    <n v="3030303030303"/>
    <n v="33333"/>
    <s v="C@"/>
    <x v="4"/>
    <x v="3"/>
    <x v="27"/>
    <m/>
    <x v="2"/>
    <x v="2"/>
    <x v="6"/>
    <x v="3"/>
    <x v="0"/>
    <x v="10"/>
    <x v="0"/>
  </r>
  <r>
    <x v="3"/>
    <n v="3030303030303"/>
    <n v="33333"/>
    <s v="C@"/>
    <x v="4"/>
    <x v="3"/>
    <x v="28"/>
    <m/>
    <x v="2"/>
    <x v="3"/>
    <x v="6"/>
    <x v="3"/>
    <x v="0"/>
    <x v="11"/>
    <x v="0"/>
  </r>
  <r>
    <x v="3"/>
    <n v="3030303030303"/>
    <n v="33333"/>
    <s v="C@"/>
    <x v="4"/>
    <x v="3"/>
    <x v="29"/>
    <m/>
    <x v="2"/>
    <x v="4"/>
    <x v="6"/>
    <x v="3"/>
    <x v="0"/>
    <x v="0"/>
    <x v="0"/>
  </r>
  <r>
    <x v="3"/>
    <n v="3030303030303"/>
    <n v="33333"/>
    <s v="C@"/>
    <x v="4"/>
    <x v="3"/>
    <x v="30"/>
    <m/>
    <x v="2"/>
    <x v="5"/>
    <x v="6"/>
    <x v="3"/>
    <x v="0"/>
    <x v="1"/>
    <x v="0"/>
  </r>
  <r>
    <x v="4"/>
    <m/>
    <m/>
    <m/>
    <x v="5"/>
    <x v="4"/>
    <x v="31"/>
    <m/>
    <x v="3"/>
    <x v="10"/>
    <x v="7"/>
    <x v="4"/>
    <x v="1"/>
    <x v="12"/>
    <x v="2"/>
  </r>
  <r>
    <x v="4"/>
    <m/>
    <m/>
    <m/>
    <x v="5"/>
    <x v="4"/>
    <x v="31"/>
    <m/>
    <x v="3"/>
    <x v="10"/>
    <x v="7"/>
    <x v="4"/>
    <x v="1"/>
    <x v="1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7A528E-FAD4-4B59-977B-8FE6B81FF95A}" name="Tabela dinâmica2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F2:H4" firstHeaderRow="1" firstDataRow="1" firstDataCol="2"/>
  <pivotFields count="15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numFmtId="43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3">
        <item x="8"/>
        <item h="1" x="9"/>
        <item h="1" x="10"/>
        <item h="1" x="11"/>
        <item h="1" x="0"/>
        <item h="1" x="1"/>
        <item h="1" x="2"/>
        <item h="1" x="3"/>
        <item h="1" x="4"/>
        <item h="1" x="5"/>
        <item h="1" x="6"/>
        <item h="1" x="7"/>
        <item h="1" x="12"/>
      </items>
    </pivotField>
    <pivotField axis="axisRow" compact="0" outline="0" showAll="0" defaultSubtotal="0">
      <items count="3">
        <item h="1" x="0"/>
        <item x="1"/>
        <item h="1" x="2"/>
      </items>
    </pivotField>
  </pivotFields>
  <rowFields count="2">
    <field x="14"/>
    <field x="13"/>
  </rowFields>
  <rowItems count="2">
    <i>
      <x v="1"/>
      <x/>
    </i>
    <i t="grand">
      <x/>
    </i>
  </rowItems>
  <colItems count="1">
    <i/>
  </colItems>
  <dataFields count="1">
    <dataField name="Soma de VALOR PARCELA" fld="10" baseField="0" baseItem="0"/>
  </dataFields>
  <formats count="17">
    <format dxfId="27">
      <pivotArea outline="0" collapsedLevelsAreSubtotals="1" fieldPosition="0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14" type="button" dataOnly="0" labelOnly="1" outline="0" axis="axisRow" fieldPosition="0"/>
    </format>
    <format dxfId="23">
      <pivotArea field="13" type="button" dataOnly="0" labelOnly="1" outline="0" axis="axisRow" fieldPosition="1"/>
    </format>
    <format dxfId="22">
      <pivotArea dataOnly="0" labelOnly="1" outline="0" fieldPosition="0">
        <references count="1">
          <reference field="14" count="1">
            <x v="0"/>
          </reference>
        </references>
      </pivotArea>
    </format>
    <format dxfId="21">
      <pivotArea dataOnly="0" labelOnly="1" grandRow="1" outline="0" fieldPosition="0"/>
    </format>
    <format dxfId="20">
      <pivotArea dataOnly="0" labelOnly="1" outline="0" fieldPosition="0">
        <references count="2">
          <reference field="13" count="0"/>
          <reference field="14" count="1" selected="0">
            <x v="0"/>
          </reference>
        </references>
      </pivotArea>
    </format>
    <format dxfId="19">
      <pivotArea dataOnly="0" labelOnly="1" outline="0" axis="axisValues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14" type="button" dataOnly="0" labelOnly="1" outline="0" axis="axisRow" fieldPosition="0"/>
    </format>
    <format dxfId="15">
      <pivotArea field="13" type="button" dataOnly="0" labelOnly="1" outline="0" axis="axisRow" fieldPosition="1"/>
    </format>
    <format dxfId="14">
      <pivotArea dataOnly="0" labelOnly="1" outline="0" fieldPosition="0">
        <references count="1">
          <reference field="14" count="0"/>
        </references>
      </pivotArea>
    </format>
    <format dxfId="13">
      <pivotArea dataOnly="0" labelOnly="1" grandRow="1" outline="0" fieldPosition="0"/>
    </format>
    <format dxfId="12">
      <pivotArea dataOnly="0" labelOnly="1" outline="0" fieldPosition="0">
        <references count="2">
          <reference field="13" count="0"/>
          <reference field="14" count="0" selected="0"/>
        </references>
      </pivotArea>
    </format>
    <format dxfId="1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6B3AA5-13E7-4CC6-8C1D-CC015F1A3F67}" name="Tabela dinâmica3" cacheId="13" applyNumberFormats="0" applyBorderFormats="0" applyFontFormats="0" applyPatternFormats="0" applyAlignmentFormats="0" applyWidthHeightFormats="1" dataCaption="Valores" updatedVersion="8" minRefreshableVersion="3" itemPrintTitles="1" createdVersion="8" indent="0" compact="0" compactData="0">
  <location ref="J3:N8" firstHeaderRow="1" firstDataRow="1" firstDataCol="5"/>
  <pivotFields count="15">
    <pivotField axis="axisRow" compact="0" outline="0" showAll="0" defaultSubtotal="0">
      <items count="5">
        <item x="2"/>
        <item x="3"/>
        <item x="0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6">
        <item x="2"/>
        <item x="4"/>
        <item x="3"/>
        <item x="0"/>
        <item x="1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2">
        <item x="25"/>
        <item x="26"/>
        <item x="10"/>
        <item x="27"/>
        <item x="11"/>
        <item x="20"/>
        <item x="28"/>
        <item x="12"/>
        <item x="21"/>
        <item x="29"/>
        <item x="13"/>
        <item x="22"/>
        <item x="0"/>
        <item x="30"/>
        <item x="14"/>
        <item x="23"/>
        <item x="1"/>
        <item x="15"/>
        <item x="24"/>
        <item x="2"/>
        <item x="16"/>
        <item x="3"/>
        <item x="17"/>
        <item x="4"/>
        <item x="18"/>
        <item x="5"/>
        <item x="19"/>
        <item x="6"/>
        <item x="7"/>
        <item x="8"/>
        <item x="9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axis="axisRow" compact="0" outline="0" subtotalTop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43" outline="0" showAll="0" defaultSubtotal="0">
      <items count="12">
        <item m="1" x="8"/>
        <item x="4"/>
        <item x="5"/>
        <item x="6"/>
        <item m="1" x="9"/>
        <item m="1" x="11"/>
        <item m="1" x="10"/>
        <item x="7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>
      <items count="13">
        <item x="8"/>
        <item h="1" x="9"/>
        <item h="1" x="10"/>
        <item h="1" x="11"/>
        <item h="1" x="0"/>
        <item h="1" x="1"/>
        <item h="1" x="2"/>
        <item h="1" x="3"/>
        <item h="1" x="4"/>
        <item h="1" x="5"/>
        <item h="1" x="6"/>
        <item h="1" x="7"/>
        <item h="1" x="12"/>
      </items>
    </pivotField>
    <pivotField compact="0" outline="0" showAll="0" defaultSubtotal="0">
      <items count="3">
        <item h="1" x="0"/>
        <item x="1"/>
        <item h="1" x="2"/>
      </items>
    </pivotField>
  </pivotFields>
  <rowFields count="5">
    <field x="0"/>
    <field x="4"/>
    <field x="6"/>
    <field x="9"/>
    <field x="10"/>
  </rowFields>
  <rowItems count="5">
    <i>
      <x v="2"/>
      <x v="3"/>
      <x v="29"/>
      <x v="8"/>
      <x v="8"/>
    </i>
    <i r="1">
      <x v="4"/>
      <x v="29"/>
      <x v="8"/>
      <x v="8"/>
    </i>
    <i>
      <x v="3"/>
      <x/>
      <x v="29"/>
      <x v="8"/>
      <x v="9"/>
    </i>
    <i r="4">
      <x v="10"/>
    </i>
    <i t="grand">
      <x/>
    </i>
  </rowItems>
  <colItems count="1">
    <i/>
  </colItems>
  <formats count="48">
    <format dxfId="75">
      <pivotArea type="all" dataOnly="0" outline="0" fieldPosition="0"/>
    </format>
    <format dxfId="74">
      <pivotArea field="0" type="button" dataOnly="0" labelOnly="1" outline="0" axis="axisRow" fieldPosition="0"/>
    </format>
    <format dxfId="73">
      <pivotArea field="4" type="button" dataOnly="0" labelOnly="1" outline="0" axis="axisRow" fieldPosition="1"/>
    </format>
    <format dxfId="72">
      <pivotArea field="6" type="button" dataOnly="0" labelOnly="1" outline="0" axis="axisRow" fieldPosition="2"/>
    </format>
    <format dxfId="71">
      <pivotArea field="10" type="button" dataOnly="0" labelOnly="1" outline="0" axis="axisRow" fieldPosition="4"/>
    </format>
    <format dxfId="70">
      <pivotArea dataOnly="0" labelOnly="1" outline="0" fieldPosition="0">
        <references count="1">
          <reference field="0" count="0"/>
        </references>
      </pivotArea>
    </format>
    <format dxfId="69">
      <pivotArea dataOnly="0" labelOnly="1" grandRow="1" outline="0" fieldPosition="0"/>
    </format>
    <format dxfId="68">
      <pivotArea dataOnly="0" labelOnly="1" outline="0" fieldPosition="0">
        <references count="2">
          <reference field="0" count="1" selected="0">
            <x v="0"/>
          </reference>
          <reference field="4" count="1">
            <x v="1"/>
          </reference>
        </references>
      </pivotArea>
    </format>
    <format dxfId="67">
      <pivotArea dataOnly="0" labelOnly="1" outline="0" fieldPosition="0">
        <references count="2">
          <reference field="0" count="1" selected="0">
            <x v="2"/>
          </reference>
          <reference field="4" count="2">
            <x v="3"/>
            <x v="4"/>
          </reference>
        </references>
      </pivotArea>
    </format>
    <format dxfId="66">
      <pivotArea dataOnly="0" labelOnly="1" outline="0" fieldPosition="0">
        <references count="2">
          <reference field="0" count="1" selected="0">
            <x v="3"/>
          </reference>
          <reference field="4" count="2">
            <x v="0"/>
            <x v="2"/>
          </reference>
        </references>
      </pivotArea>
    </format>
    <format dxfId="65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6" count="10">
            <x v="2"/>
            <x v="4"/>
            <x v="7"/>
            <x v="10"/>
            <x v="14"/>
            <x v="17"/>
            <x v="20"/>
            <x v="22"/>
            <x v="24"/>
            <x v="26"/>
          </reference>
        </references>
      </pivotArea>
    </format>
    <format dxfId="64">
      <pivotArea dataOnly="0" labelOnly="1" outline="0" fieldPosition="0">
        <references count="3">
          <reference field="0" count="1" selected="0">
            <x v="1"/>
          </reference>
          <reference field="4" count="1" selected="0">
            <x v="1"/>
          </reference>
          <reference field="6" count="6">
            <x v="0"/>
            <x v="1"/>
            <x v="3"/>
            <x v="6"/>
            <x v="9"/>
            <x v="13"/>
          </reference>
        </references>
      </pivotArea>
    </format>
    <format dxfId="63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1"/>
          </reference>
          <reference field="6" count="5">
            <x v="5"/>
            <x v="8"/>
            <x v="11"/>
            <x v="15"/>
            <x v="18"/>
          </reference>
        </references>
      </pivotArea>
    </format>
    <format dxfId="62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3"/>
          </reference>
          <reference field="6" count="10">
            <x v="12"/>
            <x v="16"/>
            <x v="19"/>
            <x v="21"/>
            <x v="23"/>
            <x v="25"/>
            <x v="27"/>
            <x v="28"/>
            <x v="29"/>
            <x v="30"/>
          </reference>
        </references>
      </pivotArea>
    </format>
    <format dxfId="61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4"/>
          </reference>
          <reference field="6" count="10">
            <x v="12"/>
            <x v="16"/>
            <x v="19"/>
            <x v="21"/>
            <x v="23"/>
            <x v="25"/>
            <x v="27"/>
            <x v="28"/>
            <x v="29"/>
            <x v="30"/>
          </reference>
        </references>
      </pivotArea>
    </format>
    <format dxfId="60">
      <pivotArea dataOnly="0" labelOnly="1" outline="0" fieldPosition="0">
        <references count="3">
          <reference field="0" count="1" selected="0">
            <x v="3"/>
          </reference>
          <reference field="4" count="1" selected="0">
            <x v="0"/>
          </reference>
          <reference field="6" count="10">
            <x v="12"/>
            <x v="16"/>
            <x v="19"/>
            <x v="21"/>
            <x v="23"/>
            <x v="25"/>
            <x v="27"/>
            <x v="28"/>
            <x v="29"/>
            <x v="30"/>
          </reference>
        </references>
      </pivotArea>
    </format>
    <format dxfId="59">
      <pivotArea dataOnly="0" labelOnly="1" outline="0" fieldPosition="0">
        <references count="3">
          <reference field="0" count="1" selected="0">
            <x v="3"/>
          </reference>
          <reference field="4" count="1" selected="0">
            <x v="2"/>
          </reference>
          <reference field="6" count="10">
            <x v="2"/>
            <x v="4"/>
            <x v="7"/>
            <x v="10"/>
            <x v="14"/>
            <x v="17"/>
            <x v="20"/>
            <x v="22"/>
            <x v="24"/>
            <x v="26"/>
          </reference>
        </references>
      </pivotArea>
    </format>
    <format dxfId="58">
      <pivotArea type="all" dataOnly="0" outline="0" fieldPosition="0"/>
    </format>
    <format dxfId="57">
      <pivotArea field="0" type="button" dataOnly="0" labelOnly="1" outline="0" axis="axisRow" fieldPosition="0"/>
    </format>
    <format dxfId="56">
      <pivotArea field="4" type="button" dataOnly="0" labelOnly="1" outline="0" axis="axisRow" fieldPosition="1"/>
    </format>
    <format dxfId="55">
      <pivotArea field="6" type="button" dataOnly="0" labelOnly="1" outline="0" axis="axisRow" fieldPosition="2"/>
    </format>
    <format dxfId="54">
      <pivotArea field="10" type="button" dataOnly="0" labelOnly="1" outline="0" axis="axisRow" fieldPosition="4"/>
    </format>
    <format dxfId="53">
      <pivotArea dataOnly="0" labelOnly="1" outline="0" fieldPosition="0">
        <references count="1">
          <reference field="0" count="0"/>
        </references>
      </pivotArea>
    </format>
    <format dxfId="52">
      <pivotArea dataOnly="0" labelOnly="1" grandRow="1" outline="0" fieldPosition="0"/>
    </format>
    <format dxfId="51">
      <pivotArea dataOnly="0" labelOnly="1" outline="0" fieldPosition="0">
        <references count="2">
          <reference field="0" count="1" selected="0">
            <x v="0"/>
          </reference>
          <reference field="4" count="1">
            <x v="1"/>
          </reference>
        </references>
      </pivotArea>
    </format>
    <format dxfId="50">
      <pivotArea dataOnly="0" labelOnly="1" outline="0" fieldPosition="0">
        <references count="2">
          <reference field="0" count="1" selected="0">
            <x v="2"/>
          </reference>
          <reference field="4" count="2">
            <x v="3"/>
            <x v="4"/>
          </reference>
        </references>
      </pivotArea>
    </format>
    <format dxfId="49">
      <pivotArea dataOnly="0" labelOnly="1" outline="0" fieldPosition="0">
        <references count="2">
          <reference field="0" count="1" selected="0">
            <x v="3"/>
          </reference>
          <reference field="4" count="2">
            <x v="0"/>
            <x v="2"/>
          </reference>
        </references>
      </pivotArea>
    </format>
    <format dxfId="48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6" count="10">
            <x v="2"/>
            <x v="4"/>
            <x v="7"/>
            <x v="10"/>
            <x v="14"/>
            <x v="17"/>
            <x v="20"/>
            <x v="22"/>
            <x v="24"/>
            <x v="26"/>
          </reference>
        </references>
      </pivotArea>
    </format>
    <format dxfId="47">
      <pivotArea dataOnly="0" labelOnly="1" outline="0" fieldPosition="0">
        <references count="3">
          <reference field="0" count="1" selected="0">
            <x v="1"/>
          </reference>
          <reference field="4" count="1" selected="0">
            <x v="1"/>
          </reference>
          <reference field="6" count="6">
            <x v="0"/>
            <x v="1"/>
            <x v="3"/>
            <x v="6"/>
            <x v="9"/>
            <x v="13"/>
          </reference>
        </references>
      </pivotArea>
    </format>
    <format dxfId="46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1"/>
          </reference>
          <reference field="6" count="5">
            <x v="5"/>
            <x v="8"/>
            <x v="11"/>
            <x v="15"/>
            <x v="18"/>
          </reference>
        </references>
      </pivotArea>
    </format>
    <format dxfId="45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3"/>
          </reference>
          <reference field="6" count="10">
            <x v="12"/>
            <x v="16"/>
            <x v="19"/>
            <x v="21"/>
            <x v="23"/>
            <x v="25"/>
            <x v="27"/>
            <x v="28"/>
            <x v="29"/>
            <x v="30"/>
          </reference>
        </references>
      </pivotArea>
    </format>
    <format dxfId="44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4"/>
          </reference>
          <reference field="6" count="10">
            <x v="12"/>
            <x v="16"/>
            <x v="19"/>
            <x v="21"/>
            <x v="23"/>
            <x v="25"/>
            <x v="27"/>
            <x v="28"/>
            <x v="29"/>
            <x v="30"/>
          </reference>
        </references>
      </pivotArea>
    </format>
    <format dxfId="43">
      <pivotArea dataOnly="0" labelOnly="1" outline="0" fieldPosition="0">
        <references count="3">
          <reference field="0" count="1" selected="0">
            <x v="3"/>
          </reference>
          <reference field="4" count="1" selected="0">
            <x v="0"/>
          </reference>
          <reference field="6" count="10">
            <x v="12"/>
            <x v="16"/>
            <x v="19"/>
            <x v="21"/>
            <x v="23"/>
            <x v="25"/>
            <x v="27"/>
            <x v="28"/>
            <x v="29"/>
            <x v="30"/>
          </reference>
        </references>
      </pivotArea>
    </format>
    <format dxfId="42">
      <pivotArea dataOnly="0" labelOnly="1" outline="0" fieldPosition="0">
        <references count="3">
          <reference field="0" count="1" selected="0">
            <x v="3"/>
          </reference>
          <reference field="4" count="1" selected="0">
            <x v="2"/>
          </reference>
          <reference field="6" count="10">
            <x v="2"/>
            <x v="4"/>
            <x v="7"/>
            <x v="10"/>
            <x v="14"/>
            <x v="17"/>
            <x v="20"/>
            <x v="22"/>
            <x v="24"/>
            <x v="26"/>
          </reference>
        </references>
      </pivotArea>
    </format>
    <format dxfId="41">
      <pivotArea type="all" dataOnly="0" outline="0" fieldPosition="0"/>
    </format>
    <format dxfId="40">
      <pivotArea field="0" type="button" dataOnly="0" labelOnly="1" outline="0" axis="axisRow" fieldPosition="0"/>
    </format>
    <format dxfId="39">
      <pivotArea field="4" type="button" dataOnly="0" labelOnly="1" outline="0" axis="axisRow" fieldPosition="1"/>
    </format>
    <format dxfId="38">
      <pivotArea field="6" type="button" dataOnly="0" labelOnly="1" outline="0" axis="axisRow" fieldPosition="2"/>
    </format>
    <format dxfId="37">
      <pivotArea field="10" type="button" dataOnly="0" labelOnly="1" outline="0" axis="axisRow" fieldPosition="4"/>
    </format>
    <format dxfId="36">
      <pivotArea dataOnly="0" labelOnly="1" outline="0" fieldPosition="0">
        <references count="1">
          <reference field="0" count="3">
            <x v="0"/>
            <x v="2"/>
            <x v="3"/>
          </reference>
        </references>
      </pivotArea>
    </format>
    <format dxfId="35">
      <pivotArea dataOnly="0" labelOnly="1" grandRow="1" outline="0" fieldPosition="0"/>
    </format>
    <format dxfId="34">
      <pivotArea dataOnly="0" labelOnly="1" outline="0" fieldPosition="0">
        <references count="2">
          <reference field="0" count="1" selected="0">
            <x v="0"/>
          </reference>
          <reference field="4" count="1">
            <x v="1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2"/>
          </reference>
          <reference field="4" count="2">
            <x v="3"/>
            <x v="4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3"/>
          </reference>
          <reference field="4" count="2">
            <x v="0"/>
            <x v="2"/>
          </reference>
        </references>
      </pivotArea>
    </format>
    <format dxfId="31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6" count="1">
            <x v="17"/>
          </reference>
        </references>
      </pivotArea>
    </format>
    <format dxfId="30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1"/>
          </reference>
          <reference field="6" count="1">
            <x v="18"/>
          </reference>
        </references>
      </pivotArea>
    </format>
    <format dxfId="29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3"/>
          </reference>
          <reference field="6" count="1">
            <x v="19"/>
          </reference>
        </references>
      </pivotArea>
    </format>
    <format dxfId="28">
      <pivotArea dataOnly="0" labelOnly="1" outline="0" fieldPosition="0">
        <references count="3">
          <reference field="0" count="1" selected="0">
            <x v="3"/>
          </reference>
          <reference field="4" count="1" selected="0">
            <x v="2"/>
          </reference>
          <reference field="6" count="1">
            <x v="17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5F9959-8C84-4D48-BA9A-762068559BB1}" name="Tabela dinâmica2" cacheId="13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multipleFieldFilters="0">
  <location ref="J2:N4" firstHeaderRow="1" firstDataRow="1" firstDataCol="4"/>
  <pivotFields count="15">
    <pivotField axis="axisRow" compact="0" outline="0" multipleItemSelectionAllowed="1" showAll="0" defaultSubtotal="0">
      <items count="5">
        <item x="2"/>
        <item x="3"/>
        <item x="0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6">
        <item x="2"/>
        <item x="1"/>
        <item x="0"/>
        <item x="4"/>
        <item x="3"/>
        <item x="5"/>
      </items>
    </pivotField>
    <pivotField axis="axisRow" compact="0" outline="0" showAll="0" defaultSubtotal="0">
      <items count="5">
        <item x="3"/>
        <item x="1"/>
        <item x="2"/>
        <item x="0"/>
        <item x="4"/>
      </items>
    </pivotField>
    <pivotField compact="0" outline="0" showAll="0" defaultSubtotal="0"/>
    <pivotField dataField="1" compact="0" outline="0" showAll="0" includeNewItemsInFilter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m="1" x="10"/>
        <item m="1" x="8"/>
        <item m="1" x="4"/>
        <item m="1" x="7"/>
        <item x="1"/>
        <item x="2"/>
        <item m="1" x="5"/>
        <item m="1" x="6"/>
        <item m="1" x="9"/>
        <item x="0"/>
        <item x="3"/>
      </items>
    </pivotField>
    <pivotField compact="0" outline="0" subtotalTop="0" showAll="0" defaultSubtotal="0"/>
    <pivotField compact="0" outline="0" showAll="0" defaultSubtotal="0"/>
    <pivotField compact="0" outline="0" showAll="0" defaultSubtotal="0">
      <items count="5">
        <item x="3"/>
        <item h="1" x="1"/>
        <item h="1" x="2"/>
        <item h="1" x="0"/>
        <item h="1" x="4"/>
      </items>
    </pivotField>
    <pivotField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</pivotFields>
  <rowFields count="4">
    <field x="0"/>
    <field x="4"/>
    <field x="5"/>
    <field x="8"/>
  </rowFields>
  <rowItems count="2">
    <i>
      <x v="1"/>
      <x v="3"/>
      <x/>
      <x v="5"/>
    </i>
    <i t="grand">
      <x/>
    </i>
  </rowItems>
  <colItems count="1">
    <i/>
  </colItems>
  <dataFields count="1">
    <dataField name="Soma de VALOR SERVIÇO" fld="7" baseField="8" baseItem="9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116AE7-FEF6-4863-8CD6-199A8AA72916}" name="Tabela dinâmica1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E2:H4" firstHeaderRow="0" firstDataRow="1" firstDataCol="2"/>
  <pivotFields count="15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dataField="1" compact="0" outline="0" subtotalTop="0" showAll="0" defaultSubtotal="0"/>
    <pivotField compact="0" outline="0" showAll="0" defaultSubtotal="0"/>
    <pivotField compact="0" outline="0" subtotalTop="0" showAll="0" defaultSubtotal="0"/>
    <pivotField compact="0" numFmtId="43" outline="0" showAll="0" defaultSubtotal="0"/>
    <pivotField name="MêS" axis="axisRow" compact="0" outline="0" showAll="0" defaultSubtotal="0">
      <items count="5">
        <item x="3"/>
        <item h="1" x="1"/>
        <item h="1" x="2"/>
        <item h="1" x="0"/>
        <item h="1" x="4"/>
      </items>
    </pivotField>
    <pivotField name="ANO" axis="axisRow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</pivotFields>
  <rowFields count="2">
    <field x="12"/>
    <field x="11"/>
  </rowFields>
  <rowItems count="2">
    <i>
      <x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VALOR" fld="7" baseField="0" baseItem="0"/>
    <dataField name="QUANT" fld="7" subtotal="count" baseField="10" baseItem="0"/>
  </dataFields>
  <formats count="14">
    <format dxfId="89">
      <pivotArea outline="0" collapsedLevelsAreSubtotals="1" fieldPosition="0"/>
    </format>
    <format dxfId="88">
      <pivotArea type="all" dataOnly="0" outline="0" fieldPosition="0"/>
    </format>
    <format dxfId="87">
      <pivotArea outline="0" fieldPosition="0">
        <references count="2">
          <reference field="11" count="4" selected="0">
            <x v="0"/>
            <x v="1"/>
            <x v="2"/>
            <x v="3"/>
          </reference>
          <reference field="12" count="0" selected="0"/>
        </references>
      </pivotArea>
    </format>
    <format dxfId="86">
      <pivotArea dataOnly="0" labelOnly="1" outline="0" fieldPosition="0">
        <references count="1">
          <reference field="12" count="0"/>
        </references>
      </pivotArea>
    </format>
    <format dxfId="85">
      <pivotArea dataOnly="0" labelOnly="1" outline="0" fieldPosition="0">
        <references count="2">
          <reference field="11" count="4">
            <x v="0"/>
            <x v="1"/>
            <x v="2"/>
            <x v="3"/>
          </reference>
          <reference field="12" count="0" selected="0"/>
        </references>
      </pivotArea>
    </format>
    <format dxfId="84">
      <pivotArea dataOnly="0" grandRow="1" outline="0" fieldPosition="0"/>
    </format>
    <format dxfId="83">
      <pivotArea type="all" dataOnly="0" outline="0" fieldPosition="0"/>
    </format>
    <format dxfId="82">
      <pivotArea outline="0" collapsedLevelsAreSubtotals="1" fieldPosition="0"/>
    </format>
    <format dxfId="81">
      <pivotArea field="12" type="button" dataOnly="0" labelOnly="1" outline="0" axis="axisRow" fieldPosition="0"/>
    </format>
    <format dxfId="80">
      <pivotArea field="11" type="button" dataOnly="0" labelOnly="1" outline="0" axis="axisRow" fieldPosition="1"/>
    </format>
    <format dxfId="79">
      <pivotArea dataOnly="0" labelOnly="1" outline="0" fieldPosition="0">
        <references count="1">
          <reference field="12" count="1">
            <x v="0"/>
          </reference>
        </references>
      </pivotArea>
    </format>
    <format dxfId="78">
      <pivotArea dataOnly="0" labelOnly="1" grandRow="1" outline="0" fieldPosition="0"/>
    </format>
    <format dxfId="77">
      <pivotArea dataOnly="0" labelOnly="1" outline="0" fieldPosition="0">
        <references count="2">
          <reference field="11" count="0"/>
          <reference field="12" count="1" selected="0">
            <x v="0"/>
          </reference>
        </references>
      </pivotArea>
    </format>
    <format dxfId="7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ÇO" xr10:uid="{8A5D4CBC-B293-4526-8508-847FAC3AB697}" sourceName="MÊS SERVIÇO">
  <pivotTables>
    <pivotTable tabId="5" name="Tabela dinâmica1"/>
    <pivotTable tabId="5" name="Tabela dinâmica2"/>
  </pivotTables>
  <data>
    <tabular pivotCacheId="651485388">
      <items count="5">
        <i x="3" s="1"/>
        <i x="1"/>
        <i x="2"/>
        <i x="0"/>
        <i x="4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ÇO" xr10:uid="{A4E440E8-6CF5-409F-8CEB-D7E8226C1F6A}" sourceName="ANO SERVIÇO">
  <pivotTables>
    <pivotTable tabId="5" name="Tabela dinâmica1"/>
    <pivotTable tabId="5" name="Tabela dinâmica2"/>
  </pivotTables>
  <data>
    <tabular pivotCacheId="651485388">
      <items count="2">
        <i x="0" s="1"/>
        <i x="1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PAGAMENTO1" xr10:uid="{8D74D6F4-E0FC-4543-9FB8-D4171CA73F8C}" sourceName="ANO PAGAMENTO">
  <pivotTables>
    <pivotTable tabId="8" name="Tabela dinâmica2"/>
    <pivotTable tabId="8" name="Tabela dinâmica3"/>
  </pivotTables>
  <data>
    <tabular pivotCacheId="651485388">
      <items count="3">
        <i x="0"/>
        <i x="1" s="1"/>
        <i x="2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PAGAMENTO1" xr10:uid="{DEE09435-DE31-4C2C-9FE4-2C9FF0CEFA3E}" sourceName="MÊS PAGAMENTO">
  <pivotTables>
    <pivotTable tabId="8" name="Tabela dinâmica2"/>
    <pivotTable tabId="8" name="Tabela dinâmica3"/>
  </pivotTables>
  <data>
    <tabular pivotCacheId="651485388">
      <items count="13">
        <i x="8" s="1"/>
        <i x="9"/>
        <i x="10" nd="1"/>
        <i x="11" nd="1"/>
        <i x="0" nd="1"/>
        <i x="1" nd="1"/>
        <i x="2" nd="1"/>
        <i x="3" nd="1"/>
        <i x="4" nd="1"/>
        <i x="5" nd="1"/>
        <i x="6" nd="1"/>
        <i x="7" nd="1"/>
        <i x="1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 PAGAMENTO 1" xr10:uid="{5CEF1C05-F3FA-4180-B96B-680CDAE7E309}" cache="SegmentaçãodeDados_ANO_PAGAMENTO1" caption="ANO PAGAMENTO" rowHeight="241300"/>
  <slicer name="MÊS PAGAMENTO 1" xr10:uid="{80F7A76E-A2EF-4D5D-84D2-6E33E32FF10E}" cache="SegmentaçãodeDados_MÊS_PAGAMENTO1" caption="MÊS PAGAMEN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ÇO" xr10:uid="{1DACEC26-2C9F-40AC-B1A5-F958068C5568}" cache="SegmentaçãodeDados_MÊS_SERVIÇO" caption="MÊS SERVIÇO" rowHeight="241300"/>
  <slicer name="ANO SERVIÇO" xr10:uid="{8894BE5B-97DB-4195-B3E3-38794FB6A4E4}" cache="SegmentaçãodeDados_ANO_SERVIÇO" caption="ANO SERVIÇO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BD38A0-A78F-4DBD-ADB1-5BE31BBCB9F3}" name="Tabela13" displayName="Tabela13" ref="A1:E28" totalsRowShown="0" headerRowDxfId="99" dataDxfId="97" headerRowBorderDxfId="98" tableBorderDxfId="96" totalsRowBorderDxfId="95">
  <tableColumns count="5">
    <tableColumn id="1" xr3:uid="{41BB5AD6-9B55-439B-A267-DB978778B081}" name="Nome" dataDxfId="94"/>
    <tableColumn id="2" xr3:uid="{86672887-135C-41F3-9F41-8482917D20CA}" name="CPF" dataDxfId="93"/>
    <tableColumn id="3" xr3:uid="{B5EE3CD0-BC0F-41A9-BFE6-58DE08DE13F1}" name="CARGO" dataDxfId="92"/>
    <tableColumn id="4" xr3:uid="{81D1564E-685F-4375-9298-A35D849043B6}" name="EMAIL" dataDxfId="91"/>
    <tableColumn id="5" xr3:uid="{A18125EC-5DCD-4DC7-B688-F3C3E0A62EBC}" name="DATA CADASTRO" dataDxfId="90" dataCellStyle="Moeda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E1CD2-B9B9-46A8-AE3A-900194E1C3F8}" name="Tabela134" displayName="Tabela134" ref="A1:F25" totalsRowShown="0" headerRowDxfId="10" dataDxfId="9" headerRowBorderDxfId="7" tableBorderDxfId="8" totalsRowBorderDxfId="6">
  <tableColumns count="6">
    <tableColumn id="1" xr3:uid="{A992D616-629B-4ED4-9DDE-A36E7EE6A19C}" name="Nome" dataDxfId="5"/>
    <tableColumn id="2" xr3:uid="{BB8A4FB3-8149-4CC2-BF5E-D4B56B342B1E}" name="CPF" dataDxfId="4"/>
    <tableColumn id="3" xr3:uid="{1E0D060B-32BE-4491-92A7-1E999D2E55A0}" name="CARGO" dataDxfId="3"/>
    <tableColumn id="4" xr3:uid="{D7CA9B26-5B17-439F-B431-F248B3CA6288}" name="EMAIL" dataDxfId="2"/>
    <tableColumn id="5" xr3:uid="{13F9A03D-D712-4CB8-A749-74739C3539DA}" name="Admissão" dataDxfId="1" dataCellStyle="Moeda"/>
    <tableColumn id="6" xr3:uid="{A4871059-E9CC-4DBF-9FBF-CA4D96BB84BE}" name="COMISSÃO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nina@flores" TargetMode="Externa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A@" TargetMode="External"/><Relationship Id="rId13" Type="http://schemas.openxmlformats.org/officeDocument/2006/relationships/hyperlink" Target="mailto:B@" TargetMode="External"/><Relationship Id="rId18" Type="http://schemas.openxmlformats.org/officeDocument/2006/relationships/hyperlink" Target="mailto:C@" TargetMode="External"/><Relationship Id="rId3" Type="http://schemas.openxmlformats.org/officeDocument/2006/relationships/hyperlink" Target="mailto:C@" TargetMode="External"/><Relationship Id="rId21" Type="http://schemas.openxmlformats.org/officeDocument/2006/relationships/hyperlink" Target="mailto:C@" TargetMode="External"/><Relationship Id="rId7" Type="http://schemas.openxmlformats.org/officeDocument/2006/relationships/hyperlink" Target="mailto:A@" TargetMode="External"/><Relationship Id="rId12" Type="http://schemas.openxmlformats.org/officeDocument/2006/relationships/hyperlink" Target="mailto:A@" TargetMode="External"/><Relationship Id="rId17" Type="http://schemas.openxmlformats.org/officeDocument/2006/relationships/hyperlink" Target="mailto:C@" TargetMode="External"/><Relationship Id="rId2" Type="http://schemas.openxmlformats.org/officeDocument/2006/relationships/hyperlink" Target="mailto:B@" TargetMode="External"/><Relationship Id="rId16" Type="http://schemas.openxmlformats.org/officeDocument/2006/relationships/hyperlink" Target="mailto:B@" TargetMode="External"/><Relationship Id="rId20" Type="http://schemas.openxmlformats.org/officeDocument/2006/relationships/hyperlink" Target="mailto:C@" TargetMode="External"/><Relationship Id="rId1" Type="http://schemas.openxmlformats.org/officeDocument/2006/relationships/hyperlink" Target="mailto:A@" TargetMode="External"/><Relationship Id="rId6" Type="http://schemas.openxmlformats.org/officeDocument/2006/relationships/hyperlink" Target="mailto:A@" TargetMode="External"/><Relationship Id="rId11" Type="http://schemas.openxmlformats.org/officeDocument/2006/relationships/hyperlink" Target="mailto:A@" TargetMode="External"/><Relationship Id="rId5" Type="http://schemas.openxmlformats.org/officeDocument/2006/relationships/hyperlink" Target="mailto:A@" TargetMode="External"/><Relationship Id="rId15" Type="http://schemas.openxmlformats.org/officeDocument/2006/relationships/hyperlink" Target="mailto:B@" TargetMode="External"/><Relationship Id="rId10" Type="http://schemas.openxmlformats.org/officeDocument/2006/relationships/hyperlink" Target="mailto:A@" TargetMode="External"/><Relationship Id="rId19" Type="http://schemas.openxmlformats.org/officeDocument/2006/relationships/hyperlink" Target="mailto:C@" TargetMode="External"/><Relationship Id="rId4" Type="http://schemas.openxmlformats.org/officeDocument/2006/relationships/hyperlink" Target="mailto:A@" TargetMode="External"/><Relationship Id="rId9" Type="http://schemas.openxmlformats.org/officeDocument/2006/relationships/hyperlink" Target="mailto:A@" TargetMode="External"/><Relationship Id="rId14" Type="http://schemas.openxmlformats.org/officeDocument/2006/relationships/hyperlink" Target="mailto:B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microsoft.com/office/2007/relationships/slicer" Target="../slicers/slicer2.xml"/><Relationship Id="rId4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166-21FE-4F04-94EA-9414EB98E708}">
  <sheetPr codeName="Planilha4"/>
  <dimension ref="A1:E29"/>
  <sheetViews>
    <sheetView workbookViewId="0">
      <pane xSplit="9" ySplit="27" topLeftCell="J28" activePane="bottomRight" state="frozen"/>
      <selection pane="topRight" activeCell="J1" sqref="J1"/>
      <selection pane="bottomLeft" activeCell="A28" sqref="A28"/>
      <selection pane="bottomRight"/>
    </sheetView>
  </sheetViews>
  <sheetFormatPr defaultRowHeight="14.5"/>
  <cols>
    <col min="1" max="1" width="23" bestFit="1" customWidth="1"/>
    <col min="2" max="3" width="22" customWidth="1"/>
    <col min="4" max="4" width="31.90625" bestFit="1" customWidth="1"/>
    <col min="5" max="5" width="16.453125" style="40" customWidth="1"/>
    <col min="6" max="6" width="12" customWidth="1"/>
    <col min="7" max="7" width="13" customWidth="1"/>
  </cols>
  <sheetData>
    <row r="1" spans="1:5" s="66" customFormat="1">
      <c r="A1" s="63" t="s">
        <v>73</v>
      </c>
      <c r="B1" s="64" t="s">
        <v>1</v>
      </c>
      <c r="C1" s="64" t="s">
        <v>74</v>
      </c>
      <c r="D1" s="64" t="s">
        <v>75</v>
      </c>
      <c r="E1" s="65" t="s">
        <v>24</v>
      </c>
    </row>
    <row r="2" spans="1:5" s="53" customFormat="1">
      <c r="A2" s="54" t="s">
        <v>19</v>
      </c>
      <c r="B2" s="55">
        <v>202020202020</v>
      </c>
      <c r="C2" s="55" t="s">
        <v>49</v>
      </c>
      <c r="D2" s="55" t="s">
        <v>77</v>
      </c>
      <c r="E2" s="56" t="s">
        <v>25</v>
      </c>
    </row>
    <row r="3" spans="1:5" s="53" customFormat="1">
      <c r="A3" s="54" t="s">
        <v>20</v>
      </c>
      <c r="B3" s="55">
        <v>3030303030303</v>
      </c>
      <c r="C3" s="55" t="s">
        <v>49</v>
      </c>
      <c r="D3" s="55" t="s">
        <v>78</v>
      </c>
      <c r="E3" s="56">
        <v>35977</v>
      </c>
    </row>
    <row r="4" spans="1:5" s="53" customFormat="1">
      <c r="A4" s="54" t="s">
        <v>37</v>
      </c>
      <c r="B4" s="55">
        <v>33311122200</v>
      </c>
      <c r="C4" s="55" t="s">
        <v>49</v>
      </c>
      <c r="D4" s="55" t="s">
        <v>79</v>
      </c>
      <c r="E4" s="56">
        <v>37021</v>
      </c>
    </row>
    <row r="5" spans="1:5" s="53" customFormat="1">
      <c r="A5" s="54" t="s">
        <v>44</v>
      </c>
      <c r="B5" s="57">
        <v>8244227427</v>
      </c>
      <c r="C5" s="55" t="s">
        <v>45</v>
      </c>
      <c r="D5" s="55" t="s">
        <v>80</v>
      </c>
      <c r="E5" s="56">
        <v>43545</v>
      </c>
    </row>
    <row r="6" spans="1:5" s="53" customFormat="1">
      <c r="A6" s="54" t="s">
        <v>46</v>
      </c>
      <c r="B6" s="57">
        <v>14042620752</v>
      </c>
      <c r="C6" s="55" t="s">
        <v>47</v>
      </c>
      <c r="D6" s="55" t="s">
        <v>81</v>
      </c>
      <c r="E6" s="56">
        <v>43555</v>
      </c>
    </row>
    <row r="7" spans="1:5" s="53" customFormat="1">
      <c r="A7" s="54" t="s">
        <v>48</v>
      </c>
      <c r="B7" s="57">
        <v>6677993262</v>
      </c>
      <c r="C7" s="55" t="s">
        <v>49</v>
      </c>
      <c r="D7" s="55" t="s">
        <v>82</v>
      </c>
      <c r="E7" s="56">
        <v>43565</v>
      </c>
    </row>
    <row r="8" spans="1:5" s="53" customFormat="1">
      <c r="A8" s="54" t="s">
        <v>50</v>
      </c>
      <c r="B8" s="57">
        <v>13481923178</v>
      </c>
      <c r="C8" s="55" t="s">
        <v>51</v>
      </c>
      <c r="D8" s="55" t="s">
        <v>83</v>
      </c>
      <c r="E8" s="56">
        <v>43575</v>
      </c>
    </row>
    <row r="9" spans="1:5" s="53" customFormat="1">
      <c r="A9" s="54" t="s">
        <v>52</v>
      </c>
      <c r="B9" s="57">
        <v>7303330974</v>
      </c>
      <c r="C9" s="55" t="s">
        <v>51</v>
      </c>
      <c r="D9" s="55" t="s">
        <v>83</v>
      </c>
      <c r="E9" s="56">
        <v>43585</v>
      </c>
    </row>
    <row r="10" spans="1:5" s="53" customFormat="1">
      <c r="A10" s="54" t="s">
        <v>53</v>
      </c>
      <c r="B10" s="57">
        <v>8534793687</v>
      </c>
      <c r="C10" s="55" t="s">
        <v>49</v>
      </c>
      <c r="D10" s="55" t="s">
        <v>82</v>
      </c>
      <c r="E10" s="56">
        <v>43595</v>
      </c>
    </row>
    <row r="11" spans="1:5" s="53" customFormat="1">
      <c r="A11" s="54" t="s">
        <v>54</v>
      </c>
      <c r="B11" s="57">
        <v>12790015618</v>
      </c>
      <c r="C11" s="55" t="s">
        <v>55</v>
      </c>
      <c r="D11" s="55" t="s">
        <v>84</v>
      </c>
      <c r="E11" s="56">
        <v>43605</v>
      </c>
    </row>
    <row r="12" spans="1:5" s="53" customFormat="1">
      <c r="A12" s="54" t="s">
        <v>56</v>
      </c>
      <c r="B12" s="57">
        <v>10403073100</v>
      </c>
      <c r="C12" s="55" t="s">
        <v>45</v>
      </c>
      <c r="D12" s="55" t="s">
        <v>80</v>
      </c>
      <c r="E12" s="56">
        <v>43615</v>
      </c>
    </row>
    <row r="13" spans="1:5" s="53" customFormat="1">
      <c r="A13" s="54" t="s">
        <v>57</v>
      </c>
      <c r="B13" s="57">
        <v>8141976567</v>
      </c>
      <c r="C13" s="55" t="s">
        <v>51</v>
      </c>
      <c r="D13" s="55" t="s">
        <v>83</v>
      </c>
      <c r="E13" s="56">
        <v>43625</v>
      </c>
    </row>
    <row r="14" spans="1:5" s="53" customFormat="1">
      <c r="A14" s="54" t="s">
        <v>58</v>
      </c>
      <c r="B14" s="57">
        <v>13753218615</v>
      </c>
      <c r="C14" s="55" t="s">
        <v>51</v>
      </c>
      <c r="D14" s="55" t="s">
        <v>83</v>
      </c>
      <c r="E14" s="56">
        <v>43635</v>
      </c>
    </row>
    <row r="15" spans="1:5" s="53" customFormat="1">
      <c r="A15" s="54" t="s">
        <v>59</v>
      </c>
      <c r="B15" s="57">
        <v>13365514967</v>
      </c>
      <c r="C15" s="55" t="s">
        <v>45</v>
      </c>
      <c r="D15" s="55" t="s">
        <v>80</v>
      </c>
      <c r="E15" s="56">
        <v>43645</v>
      </c>
    </row>
    <row r="16" spans="1:5" s="53" customFormat="1">
      <c r="A16" s="54" t="s">
        <v>60</v>
      </c>
      <c r="B16" s="57">
        <v>10700047349</v>
      </c>
      <c r="C16" s="55" t="s">
        <v>45</v>
      </c>
      <c r="D16" s="55" t="s">
        <v>80</v>
      </c>
      <c r="E16" s="56">
        <v>43655</v>
      </c>
    </row>
    <row r="17" spans="1:5" s="53" customFormat="1">
      <c r="A17" s="54" t="s">
        <v>61</v>
      </c>
      <c r="B17" s="57">
        <v>13335156751</v>
      </c>
      <c r="C17" s="55" t="s">
        <v>47</v>
      </c>
      <c r="D17" s="55" t="s">
        <v>81</v>
      </c>
      <c r="E17" s="56">
        <v>43665</v>
      </c>
    </row>
    <row r="18" spans="1:5" s="53" customFormat="1">
      <c r="A18" s="54" t="s">
        <v>62</v>
      </c>
      <c r="B18" s="57">
        <v>13672562963</v>
      </c>
      <c r="C18" s="55" t="s">
        <v>51</v>
      </c>
      <c r="D18" s="55" t="s">
        <v>83</v>
      </c>
      <c r="E18" s="56">
        <v>43675</v>
      </c>
    </row>
    <row r="19" spans="1:5" s="53" customFormat="1">
      <c r="A19" s="54" t="s">
        <v>63</v>
      </c>
      <c r="B19" s="57">
        <v>14074531754</v>
      </c>
      <c r="C19" s="55" t="s">
        <v>64</v>
      </c>
      <c r="D19" s="55" t="s">
        <v>85</v>
      </c>
      <c r="E19" s="56">
        <v>43685</v>
      </c>
    </row>
    <row r="20" spans="1:5" s="53" customFormat="1">
      <c r="A20" s="54" t="s">
        <v>65</v>
      </c>
      <c r="B20" s="57">
        <v>11085752980</v>
      </c>
      <c r="C20" s="55" t="s">
        <v>49</v>
      </c>
      <c r="D20" s="55" t="s">
        <v>82</v>
      </c>
      <c r="E20" s="56">
        <v>43695</v>
      </c>
    </row>
    <row r="21" spans="1:5" s="53" customFormat="1">
      <c r="A21" s="54" t="s">
        <v>66</v>
      </c>
      <c r="B21" s="57">
        <v>13616340129</v>
      </c>
      <c r="C21" s="55" t="s">
        <v>49</v>
      </c>
      <c r="D21" s="55" t="s">
        <v>82</v>
      </c>
      <c r="E21" s="56">
        <v>43705</v>
      </c>
    </row>
    <row r="22" spans="1:5" s="53" customFormat="1">
      <c r="A22" s="54" t="s">
        <v>67</v>
      </c>
      <c r="B22" s="57">
        <v>12751153973</v>
      </c>
      <c r="C22" s="55" t="s">
        <v>55</v>
      </c>
      <c r="D22" s="55" t="s">
        <v>84</v>
      </c>
      <c r="E22" s="56">
        <v>43715</v>
      </c>
    </row>
    <row r="23" spans="1:5" s="53" customFormat="1">
      <c r="A23" s="54" t="s">
        <v>68</v>
      </c>
      <c r="B23" s="57">
        <v>15178223721</v>
      </c>
      <c r="C23" s="55" t="s">
        <v>55</v>
      </c>
      <c r="D23" s="55" t="s">
        <v>84</v>
      </c>
      <c r="E23" s="56">
        <v>43725</v>
      </c>
    </row>
    <row r="24" spans="1:5" s="53" customFormat="1">
      <c r="A24" s="54" t="s">
        <v>69</v>
      </c>
      <c r="B24" s="57">
        <v>10198144634</v>
      </c>
      <c r="C24" s="55" t="s">
        <v>49</v>
      </c>
      <c r="D24" s="55" t="s">
        <v>82</v>
      </c>
      <c r="E24" s="56">
        <v>43735</v>
      </c>
    </row>
    <row r="25" spans="1:5" s="53" customFormat="1">
      <c r="A25" s="54" t="s">
        <v>70</v>
      </c>
      <c r="B25" s="57">
        <v>12146480128</v>
      </c>
      <c r="C25" s="55" t="s">
        <v>64</v>
      </c>
      <c r="D25" s="55" t="s">
        <v>85</v>
      </c>
      <c r="E25" s="56">
        <v>43745</v>
      </c>
    </row>
    <row r="26" spans="1:5" s="53" customFormat="1">
      <c r="A26" s="54" t="s">
        <v>71</v>
      </c>
      <c r="B26" s="57">
        <v>9786760977</v>
      </c>
      <c r="C26" s="55" t="s">
        <v>55</v>
      </c>
      <c r="D26" s="55" t="s">
        <v>84</v>
      </c>
      <c r="E26" s="56">
        <v>43755</v>
      </c>
    </row>
    <row r="27" spans="1:5" s="53" customFormat="1">
      <c r="A27" s="54" t="s">
        <v>72</v>
      </c>
      <c r="B27" s="57">
        <v>14440278194</v>
      </c>
      <c r="C27" s="55" t="s">
        <v>45</v>
      </c>
      <c r="D27" s="55" t="s">
        <v>80</v>
      </c>
      <c r="E27" s="56">
        <v>43765</v>
      </c>
    </row>
    <row r="28" spans="1:5" s="53" customFormat="1">
      <c r="A28" s="58" t="s">
        <v>76</v>
      </c>
      <c r="B28" s="59">
        <v>12345678910</v>
      </c>
      <c r="C28" s="60" t="s">
        <v>45</v>
      </c>
      <c r="D28" s="60" t="s">
        <v>80</v>
      </c>
      <c r="E28" s="61">
        <v>43775</v>
      </c>
    </row>
    <row r="29" spans="1:5" s="53" customFormat="1">
      <c r="E29" s="62"/>
    </row>
  </sheetData>
  <sheetProtection selectLockedCells="1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6E88A-17EF-4CA6-B04E-2191E984CDCE}">
  <sheetPr codeName="Planilha9"/>
  <dimension ref="A1:L25"/>
  <sheetViews>
    <sheetView workbookViewId="0">
      <pane xSplit="11" ySplit="26" topLeftCell="L27" activePane="bottomRight" state="frozen"/>
      <selection pane="topRight" activeCell="L1" sqref="L1"/>
      <selection pane="bottomLeft" activeCell="A27" sqref="A27"/>
      <selection pane="bottomRight"/>
    </sheetView>
  </sheetViews>
  <sheetFormatPr defaultRowHeight="14.5"/>
  <cols>
    <col min="1" max="1" width="24.26953125" bestFit="1" customWidth="1"/>
    <col min="2" max="2" width="14.08984375" bestFit="1" customWidth="1"/>
    <col min="3" max="3" width="13.08984375" bestFit="1" customWidth="1"/>
    <col min="4" max="4" width="31.90625" bestFit="1" customWidth="1"/>
    <col min="5" max="5" width="15.08984375" bestFit="1" customWidth="1"/>
    <col min="6" max="6" width="16.90625" customWidth="1"/>
  </cols>
  <sheetData>
    <row r="1" spans="1:12">
      <c r="A1" s="51" t="s">
        <v>73</v>
      </c>
      <c r="B1" s="51" t="s">
        <v>1</v>
      </c>
      <c r="C1" s="51" t="s">
        <v>74</v>
      </c>
      <c r="D1" s="51" t="s">
        <v>75</v>
      </c>
      <c r="E1" s="51" t="s">
        <v>86</v>
      </c>
      <c r="F1" s="46" t="s">
        <v>43</v>
      </c>
    </row>
    <row r="2" spans="1:12">
      <c r="A2" s="47" t="s">
        <v>44</v>
      </c>
      <c r="B2" s="45">
        <v>8244227427</v>
      </c>
      <c r="C2" s="44" t="s">
        <v>45</v>
      </c>
      <c r="D2" t="s">
        <v>80</v>
      </c>
      <c r="E2" s="12">
        <v>43545</v>
      </c>
      <c r="F2" s="52">
        <v>0.1</v>
      </c>
    </row>
    <row r="3" spans="1:12">
      <c r="A3" s="47" t="s">
        <v>46</v>
      </c>
      <c r="B3" s="45">
        <v>14042620752</v>
      </c>
      <c r="C3" s="44" t="s">
        <v>47</v>
      </c>
      <c r="D3" t="s">
        <v>81</v>
      </c>
      <c r="E3" s="12">
        <v>43555</v>
      </c>
      <c r="F3" s="52">
        <v>0.15</v>
      </c>
      <c r="H3" s="91"/>
    </row>
    <row r="4" spans="1:12">
      <c r="A4" s="47" t="s">
        <v>48</v>
      </c>
      <c r="B4" s="45">
        <v>6677993262</v>
      </c>
      <c r="C4" s="44" t="s">
        <v>49</v>
      </c>
      <c r="D4" t="s">
        <v>82</v>
      </c>
      <c r="E4" s="12">
        <v>43565</v>
      </c>
      <c r="F4" s="52">
        <v>0.02</v>
      </c>
      <c r="H4" s="92"/>
    </row>
    <row r="5" spans="1:12">
      <c r="A5" s="47" t="s">
        <v>50</v>
      </c>
      <c r="B5" s="45">
        <v>13481923178</v>
      </c>
      <c r="C5" s="44" t="s">
        <v>51</v>
      </c>
      <c r="D5" t="s">
        <v>83</v>
      </c>
      <c r="E5" s="12">
        <v>43575</v>
      </c>
      <c r="F5" s="52">
        <v>0.35</v>
      </c>
      <c r="H5" s="92"/>
      <c r="J5" s="91"/>
    </row>
    <row r="6" spans="1:12">
      <c r="A6" s="47" t="s">
        <v>52</v>
      </c>
      <c r="B6" s="45">
        <v>7303330974</v>
      </c>
      <c r="C6" s="44" t="s">
        <v>51</v>
      </c>
      <c r="D6" t="s">
        <v>83</v>
      </c>
      <c r="E6" s="12">
        <v>43585</v>
      </c>
      <c r="F6" s="52">
        <v>0.2</v>
      </c>
      <c r="H6" s="92"/>
      <c r="J6" s="92"/>
    </row>
    <row r="7" spans="1:12">
      <c r="A7" s="47" t="s">
        <v>53</v>
      </c>
      <c r="B7" s="45">
        <v>8534793687</v>
      </c>
      <c r="C7" s="44" t="s">
        <v>49</v>
      </c>
      <c r="D7" t="s">
        <v>82</v>
      </c>
      <c r="E7" s="12">
        <v>43595</v>
      </c>
      <c r="F7" s="52">
        <v>0.05</v>
      </c>
      <c r="H7" s="93"/>
      <c r="J7" s="92"/>
    </row>
    <row r="8" spans="1:12">
      <c r="A8" s="47" t="s">
        <v>87</v>
      </c>
      <c r="B8" s="45" t="s">
        <v>88</v>
      </c>
      <c r="C8" s="44" t="s">
        <v>89</v>
      </c>
      <c r="D8" s="9" t="s">
        <v>90</v>
      </c>
      <c r="E8" s="12">
        <v>45017</v>
      </c>
      <c r="F8" s="52">
        <v>0.55000000000000004</v>
      </c>
      <c r="H8" s="92"/>
      <c r="J8" s="92"/>
    </row>
    <row r="9" spans="1:12">
      <c r="A9" s="47"/>
      <c r="B9" s="45"/>
      <c r="C9" s="44"/>
      <c r="E9" s="12"/>
      <c r="H9" s="94"/>
      <c r="I9" s="53"/>
      <c r="J9" s="95"/>
      <c r="K9" s="53"/>
      <c r="L9" s="53"/>
    </row>
    <row r="10" spans="1:12">
      <c r="A10" s="47"/>
      <c r="B10" s="45"/>
      <c r="C10" s="44"/>
      <c r="E10" s="12"/>
      <c r="H10" s="94"/>
      <c r="I10" s="53"/>
      <c r="J10" s="94"/>
      <c r="K10" s="53"/>
      <c r="L10" s="53"/>
    </row>
    <row r="11" spans="1:12">
      <c r="A11" s="47"/>
      <c r="B11" s="45"/>
      <c r="C11" s="44"/>
      <c r="E11" s="12"/>
      <c r="H11" s="95"/>
      <c r="I11" s="53"/>
      <c r="J11" s="94"/>
      <c r="K11" s="53"/>
      <c r="L11" s="53"/>
    </row>
    <row r="12" spans="1:12">
      <c r="A12" s="47"/>
      <c r="B12" s="45"/>
      <c r="C12" s="44"/>
      <c r="E12" s="12"/>
      <c r="H12" s="94"/>
      <c r="I12" s="53"/>
      <c r="J12" s="94"/>
      <c r="K12" s="53"/>
      <c r="L12" s="53"/>
    </row>
    <row r="13" spans="1:12">
      <c r="A13" s="47"/>
      <c r="B13" s="45"/>
      <c r="C13" s="44"/>
      <c r="E13" s="12"/>
      <c r="H13" s="94"/>
      <c r="I13" s="53"/>
      <c r="J13" s="95"/>
      <c r="K13" s="53"/>
      <c r="L13" s="53"/>
    </row>
    <row r="14" spans="1:12">
      <c r="A14" s="47"/>
      <c r="B14" s="45"/>
      <c r="C14" s="44"/>
      <c r="E14" s="12"/>
      <c r="H14" s="94"/>
      <c r="I14" s="53"/>
      <c r="J14" s="94"/>
      <c r="K14" s="53"/>
      <c r="L14" s="53"/>
    </row>
    <row r="15" spans="1:12">
      <c r="A15" s="47"/>
      <c r="B15" s="45"/>
      <c r="C15" s="44"/>
      <c r="E15" s="12"/>
      <c r="H15" s="53"/>
      <c r="I15" s="53"/>
      <c r="J15" s="94"/>
      <c r="K15" s="53"/>
      <c r="L15" s="53"/>
    </row>
    <row r="16" spans="1:12">
      <c r="A16" s="47"/>
      <c r="B16" s="45"/>
      <c r="C16" s="44"/>
      <c r="E16" s="12"/>
      <c r="H16" s="53"/>
      <c r="I16" s="53"/>
      <c r="J16" s="94"/>
      <c r="K16" s="53"/>
      <c r="L16" s="53"/>
    </row>
    <row r="17" spans="1:12">
      <c r="A17" s="47"/>
      <c r="B17" s="45"/>
      <c r="C17" s="44"/>
      <c r="E17" s="12"/>
      <c r="H17" s="53"/>
      <c r="I17" s="53"/>
      <c r="J17" s="53"/>
      <c r="K17" s="53"/>
      <c r="L17" s="53"/>
    </row>
    <row r="18" spans="1:12">
      <c r="A18" s="47"/>
      <c r="B18" s="45"/>
      <c r="C18" s="44"/>
      <c r="E18" s="12"/>
      <c r="H18" s="53"/>
      <c r="I18" s="53"/>
      <c r="J18" s="53"/>
      <c r="K18" s="53"/>
      <c r="L18" s="53"/>
    </row>
    <row r="19" spans="1:12">
      <c r="A19" s="47"/>
      <c r="B19" s="45"/>
      <c r="C19" s="44"/>
      <c r="E19" s="12"/>
      <c r="H19" s="53"/>
      <c r="I19" s="53"/>
      <c r="J19" s="53"/>
      <c r="K19" s="53"/>
      <c r="L19" s="53"/>
    </row>
    <row r="20" spans="1:12">
      <c r="A20" s="47"/>
      <c r="B20" s="45"/>
      <c r="C20" s="44"/>
      <c r="E20" s="12"/>
      <c r="H20" s="53"/>
      <c r="I20" s="53"/>
      <c r="J20" s="53"/>
      <c r="K20" s="53"/>
      <c r="L20" s="53"/>
    </row>
    <row r="21" spans="1:12">
      <c r="A21" s="47"/>
      <c r="B21" s="45"/>
      <c r="C21" s="44"/>
      <c r="E21" s="12"/>
    </row>
    <row r="22" spans="1:12">
      <c r="A22" s="47"/>
      <c r="B22" s="45"/>
      <c r="C22" s="44"/>
      <c r="E22" s="12"/>
    </row>
    <row r="23" spans="1:12">
      <c r="A23" s="47"/>
      <c r="B23" s="45"/>
      <c r="C23" s="44"/>
      <c r="E23" s="12"/>
    </row>
    <row r="24" spans="1:12">
      <c r="A24" s="48"/>
      <c r="B24" s="50"/>
      <c r="C24" s="49"/>
      <c r="E24" s="12"/>
    </row>
    <row r="25" spans="1:12">
      <c r="A25" s="48"/>
      <c r="B25" s="50"/>
      <c r="C25" s="49"/>
      <c r="E25" s="12"/>
    </row>
  </sheetData>
  <phoneticPr fontId="9" type="noConversion"/>
  <hyperlinks>
    <hyperlink ref="D8" r:id="rId1" xr:uid="{A3B77F6B-4DE1-4D7F-A645-063C808B7738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3F0E-EA0C-49BD-86BA-A6DAA13E17AA}">
  <sheetPr codeName="Planilha2"/>
  <dimension ref="A1:P30"/>
  <sheetViews>
    <sheetView showGridLines="0" showRowColHeaders="0" workbookViewId="0">
      <pane xSplit="15" ySplit="19" topLeftCell="P20" activePane="bottomRight" state="frozen"/>
      <selection pane="topRight" activeCell="P1" sqref="P1"/>
      <selection pane="bottomLeft" activeCell="A20" sqref="A20"/>
      <selection pane="bottomRight"/>
    </sheetView>
  </sheetViews>
  <sheetFormatPr defaultColWidth="8.7265625" defaultRowHeight="14.5"/>
  <cols>
    <col min="1" max="1" width="2.26953125" style="3" customWidth="1"/>
    <col min="2" max="2" width="9.81640625" style="3" customWidth="1"/>
    <col min="3" max="3" width="11.81640625" style="3" bestFit="1" customWidth="1"/>
    <col min="4" max="6" width="8.7265625" style="3"/>
    <col min="7" max="7" width="15.453125" style="3" customWidth="1"/>
    <col min="8" max="8" width="21.26953125" style="3" customWidth="1"/>
    <col min="9" max="9" width="3.26953125" style="3" customWidth="1"/>
    <col min="10" max="10" width="10.453125" style="3" customWidth="1"/>
    <col min="11" max="11" width="13" style="3" customWidth="1"/>
    <col min="12" max="12" width="3.26953125" style="3" customWidth="1"/>
    <col min="13" max="13" width="10.453125" style="3" customWidth="1"/>
    <col min="14" max="14" width="13" style="3" customWidth="1"/>
    <col min="15" max="15" width="10.1796875" style="3" bestFit="1" customWidth="1"/>
    <col min="16" max="16384" width="8.7265625" style="3"/>
  </cols>
  <sheetData>
    <row r="1" spans="1:16" ht="64.5" customHeight="1" thickBo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ht="20.149999999999999" customHeight="1" thickBot="1">
      <c r="A2" s="2"/>
      <c r="B2" s="2"/>
      <c r="C2" s="2"/>
      <c r="D2" s="2"/>
      <c r="E2" s="77" t="s">
        <v>22</v>
      </c>
      <c r="F2" s="78"/>
      <c r="G2" s="78"/>
      <c r="H2" s="78"/>
      <c r="I2" s="78"/>
      <c r="J2" s="78"/>
      <c r="K2" s="78"/>
      <c r="L2" s="78"/>
      <c r="M2" s="79"/>
      <c r="N2" s="2"/>
      <c r="O2" s="2"/>
      <c r="P2" s="2"/>
    </row>
    <row r="3" spans="1:16" ht="20.149999999999999" customHeight="1" thickBot="1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2"/>
    </row>
    <row r="4" spans="1:16" ht="20.149999999999999" customHeight="1" thickBot="1">
      <c r="A4" s="2"/>
      <c r="B4" s="5" t="s">
        <v>4</v>
      </c>
      <c r="C4" s="80" t="s">
        <v>102</v>
      </c>
      <c r="D4" s="81"/>
      <c r="E4" s="4" t="s">
        <v>21</v>
      </c>
      <c r="F4" s="4"/>
      <c r="G4" s="4"/>
      <c r="H4" s="4"/>
      <c r="I4" s="4"/>
      <c r="J4" s="4"/>
      <c r="K4" s="4"/>
      <c r="L4" s="4"/>
      <c r="M4" s="4"/>
      <c r="N4" s="4"/>
      <c r="O4" s="4"/>
      <c r="P4" s="2"/>
    </row>
    <row r="5" spans="1:16" ht="20.149999999999999" customHeight="1" thickBot="1">
      <c r="A5" s="2"/>
      <c r="B5" s="4"/>
      <c r="C5" s="4"/>
      <c r="D5" s="4"/>
      <c r="E5" s="4"/>
      <c r="F5" s="4"/>
      <c r="G5" s="4"/>
      <c r="H5" s="6"/>
      <c r="I5" s="4"/>
      <c r="J5" s="4"/>
      <c r="K5" s="4"/>
      <c r="L5" s="4"/>
      <c r="M5" s="4"/>
      <c r="N5" s="4"/>
      <c r="O5" s="4"/>
      <c r="P5" s="2"/>
    </row>
    <row r="6" spans="1:16" ht="20.149999999999999" customHeight="1" thickTop="1" thickBot="1">
      <c r="A6" s="2"/>
      <c r="B6" s="5" t="s">
        <v>0</v>
      </c>
      <c r="C6" s="96" t="str">
        <f>IFERROR(VLOOKUP("*"&amp;C4&amp;"*",'DADOS CLIENTES'!A:D,1,0),"ERRO")</f>
        <v>Daniela Muller Braga</v>
      </c>
      <c r="D6" s="97"/>
      <c r="E6" s="98"/>
      <c r="F6" s="4"/>
      <c r="G6" s="7" t="s">
        <v>7</v>
      </c>
      <c r="H6" s="32" t="s">
        <v>42</v>
      </c>
      <c r="I6" s="82" t="s">
        <v>10</v>
      </c>
      <c r="J6" s="83"/>
      <c r="K6" s="83"/>
      <c r="L6" s="83"/>
      <c r="M6" s="83"/>
      <c r="N6" s="84"/>
      <c r="O6" s="4"/>
      <c r="P6" s="2"/>
    </row>
    <row r="7" spans="1:16" ht="20.149999999999999" customHeight="1" thickBot="1">
      <c r="A7" s="2"/>
      <c r="B7" s="5"/>
      <c r="C7" s="4"/>
      <c r="D7" s="4"/>
      <c r="E7" s="4"/>
      <c r="F7" s="4"/>
      <c r="G7" s="7" t="s">
        <v>26</v>
      </c>
      <c r="H7" s="29">
        <v>45070</v>
      </c>
      <c r="I7" s="14">
        <v>1</v>
      </c>
      <c r="J7" s="26">
        <f>IF(H11&lt;&gt;"",EDATE(H12,1),"")</f>
        <v>45107</v>
      </c>
      <c r="K7" s="19">
        <f t="shared" ref="K7:K12" si="0">IF($H$11&gt;=I7,$H$13,"")</f>
        <v>37.777777777777779</v>
      </c>
      <c r="L7" s="15">
        <v>7</v>
      </c>
      <c r="M7" s="25">
        <f>IF(N7&lt;&gt;"",EDATE(J12,1),"")</f>
        <v>45290</v>
      </c>
      <c r="N7" s="22">
        <f t="shared" ref="N7:N12" si="1">IF($H$11&gt;=L7,$H$13,"")</f>
        <v>37.777777777777779</v>
      </c>
      <c r="O7" s="4"/>
      <c r="P7" s="2"/>
    </row>
    <row r="8" spans="1:16" ht="20.149999999999999" customHeight="1" thickBot="1">
      <c r="A8" s="2"/>
      <c r="B8" s="5" t="s">
        <v>1</v>
      </c>
      <c r="C8" s="102">
        <f>IFERROR(VLOOKUP("*"&amp;C4&amp;"*",'DADOS CLIENTES'!A:Z,2,0),"ERRO")</f>
        <v>12790015618</v>
      </c>
      <c r="D8" s="103"/>
      <c r="E8" s="104"/>
      <c r="F8" s="4"/>
      <c r="G8" s="7" t="s">
        <v>91</v>
      </c>
      <c r="H8" s="3" t="s">
        <v>87</v>
      </c>
      <c r="I8" s="16">
        <v>2</v>
      </c>
      <c r="J8" s="26">
        <f>IF(K8&lt;&gt;"",EDATE(J7,1),"")</f>
        <v>45137</v>
      </c>
      <c r="K8" s="20">
        <f t="shared" si="0"/>
        <v>37.777777777777779</v>
      </c>
      <c r="L8" s="13">
        <v>8</v>
      </c>
      <c r="M8" s="26">
        <f>IF(N8&lt;&gt;"",EDATE(M7,1),"")</f>
        <v>45321</v>
      </c>
      <c r="N8" s="23">
        <f t="shared" si="1"/>
        <v>37.777777777777779</v>
      </c>
      <c r="O8" s="4"/>
      <c r="P8" s="2"/>
    </row>
    <row r="9" spans="1:16" ht="20.149999999999999" customHeight="1" thickBot="1">
      <c r="A9" s="2"/>
      <c r="B9" s="5"/>
      <c r="C9" s="4"/>
      <c r="D9" s="4"/>
      <c r="E9" s="4"/>
      <c r="F9" s="4"/>
      <c r="G9" s="7" t="s">
        <v>93</v>
      </c>
      <c r="H9" s="30">
        <v>340</v>
      </c>
      <c r="I9" s="16">
        <v>3</v>
      </c>
      <c r="J9" s="26">
        <f t="shared" ref="J9:J12" si="2">IF(K9&lt;&gt;"",EDATE(J8,1),"")</f>
        <v>45168</v>
      </c>
      <c r="K9" s="20">
        <f t="shared" si="0"/>
        <v>37.777777777777779</v>
      </c>
      <c r="L9" s="13">
        <v>9</v>
      </c>
      <c r="M9" s="26">
        <f t="shared" ref="M9:M12" si="3">IF(N9&lt;&gt;"",EDATE(M8,1),"")</f>
        <v>45351</v>
      </c>
      <c r="N9" s="23">
        <f t="shared" si="1"/>
        <v>37.777777777777779</v>
      </c>
      <c r="O9" s="4"/>
      <c r="P9" s="2"/>
    </row>
    <row r="10" spans="1:16" ht="20.149999999999999" customHeight="1" thickBot="1">
      <c r="A10" s="2"/>
      <c r="B10" s="5" t="s">
        <v>2</v>
      </c>
      <c r="C10" s="96" t="str">
        <f>IFERROR(VLOOKUP("*"&amp;C4&amp;"*",'DADOS CLIENTES'!A:D,3,0),"ERRO")</f>
        <v>Logística</v>
      </c>
      <c r="D10" s="97"/>
      <c r="E10" s="98"/>
      <c r="F10" s="4"/>
      <c r="G10" s="7" t="s">
        <v>92</v>
      </c>
      <c r="H10" s="67">
        <f>H9*VLOOKUP(H8,'DADOS FUNCIONÁRIOS'!A:F,6,0)</f>
        <v>187.00000000000003</v>
      </c>
      <c r="I10" s="16">
        <v>4</v>
      </c>
      <c r="J10" s="26">
        <f t="shared" si="2"/>
        <v>45199</v>
      </c>
      <c r="K10" s="20">
        <f t="shared" si="0"/>
        <v>37.777777777777779</v>
      </c>
      <c r="L10" s="13">
        <v>10</v>
      </c>
      <c r="M10" s="26" t="str">
        <f t="shared" si="3"/>
        <v/>
      </c>
      <c r="N10" s="23" t="str">
        <f t="shared" si="1"/>
        <v/>
      </c>
      <c r="O10" s="4"/>
      <c r="P10" s="2"/>
    </row>
    <row r="11" spans="1:16" ht="20.149999999999999" customHeight="1" thickBot="1">
      <c r="A11" s="2"/>
      <c r="B11" s="5"/>
      <c r="C11" s="4"/>
      <c r="D11" s="4"/>
      <c r="E11" s="4"/>
      <c r="F11" s="7"/>
      <c r="G11" s="7" t="s">
        <v>28</v>
      </c>
      <c r="H11" s="8">
        <v>9</v>
      </c>
      <c r="I11" s="16">
        <v>5</v>
      </c>
      <c r="J11" s="26">
        <f t="shared" si="2"/>
        <v>45229</v>
      </c>
      <c r="K11" s="20">
        <f t="shared" si="0"/>
        <v>37.777777777777779</v>
      </c>
      <c r="L11" s="13">
        <v>11</v>
      </c>
      <c r="M11" s="26" t="str">
        <f t="shared" si="3"/>
        <v/>
      </c>
      <c r="N11" s="23" t="str">
        <f t="shared" si="1"/>
        <v/>
      </c>
      <c r="O11" s="4"/>
      <c r="P11" s="2"/>
    </row>
    <row r="12" spans="1:16" ht="20.149999999999999" customHeight="1" thickBot="1">
      <c r="A12" s="2"/>
      <c r="B12" s="5" t="s">
        <v>3</v>
      </c>
      <c r="C12" s="96" t="str">
        <f>IFERROR(VLOOKUP("*"&amp;C4&amp;"*",'DADOS CLIENTES'!A:D,4,0),"ERRO")</f>
        <v>Logística@minhaempresa.com</v>
      </c>
      <c r="D12" s="97"/>
      <c r="E12" s="98"/>
      <c r="F12" s="4"/>
      <c r="G12" s="7" t="s">
        <v>27</v>
      </c>
      <c r="H12" s="31">
        <v>45076</v>
      </c>
      <c r="I12" s="17">
        <v>6</v>
      </c>
      <c r="J12" s="27">
        <f t="shared" si="2"/>
        <v>45260</v>
      </c>
      <c r="K12" s="21">
        <f t="shared" si="0"/>
        <v>37.777777777777779</v>
      </c>
      <c r="L12" s="18">
        <v>12</v>
      </c>
      <c r="M12" s="27" t="str">
        <f t="shared" si="3"/>
        <v/>
      </c>
      <c r="N12" s="24" t="str">
        <f t="shared" si="1"/>
        <v/>
      </c>
      <c r="O12" s="4"/>
      <c r="P12" s="2"/>
    </row>
    <row r="13" spans="1:16" ht="15" thickBot="1">
      <c r="A13" s="2"/>
      <c r="B13" s="4"/>
      <c r="C13" s="4"/>
      <c r="D13" s="4"/>
      <c r="E13" s="4"/>
      <c r="F13" s="4"/>
      <c r="G13" s="7" t="s">
        <v>12</v>
      </c>
      <c r="H13" s="28">
        <f>IF(H11&gt;0,H9/H11,0)</f>
        <v>37.777777777777779</v>
      </c>
      <c r="I13" s="4"/>
      <c r="J13" s="4"/>
      <c r="K13" s="4"/>
      <c r="L13" s="4"/>
      <c r="M13" s="4"/>
      <c r="N13" s="4"/>
      <c r="O13" s="4"/>
      <c r="P13" s="2"/>
    </row>
    <row r="14" spans="1:16" ht="15" thickBot="1">
      <c r="A14" s="2"/>
      <c r="B14" s="5" t="s">
        <v>23</v>
      </c>
      <c r="C14" s="99">
        <f>IFERROR(VLOOKUP("*"&amp;C4&amp;"*",'DADOS CLIENTES'!A:V,5,0),"ERRO")</f>
        <v>43605</v>
      </c>
      <c r="D14" s="100"/>
      <c r="E14" s="101"/>
      <c r="F14" s="4"/>
      <c r="G14" s="7"/>
      <c r="H14" s="4"/>
      <c r="I14" s="4"/>
      <c r="J14" s="4"/>
      <c r="K14" s="4"/>
      <c r="L14" s="4"/>
      <c r="M14" s="4"/>
      <c r="N14" s="4"/>
      <c r="O14" s="4"/>
      <c r="P14" s="2"/>
    </row>
    <row r="15" spans="1:16">
      <c r="A15" s="2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2"/>
    </row>
    <row r="16" spans="1:16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</sheetData>
  <mergeCells count="8">
    <mergeCell ref="C10:E10"/>
    <mergeCell ref="C12:E12"/>
    <mergeCell ref="C14:E14"/>
    <mergeCell ref="E2:M2"/>
    <mergeCell ref="C4:D4"/>
    <mergeCell ref="I6:N6"/>
    <mergeCell ref="C8:E8"/>
    <mergeCell ref="C6:E6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D04AB9-AA17-4570-9047-8CB55817504A}">
          <x14:formula1>
            <xm:f>'DADOS FUNCIONÁRIOS'!$A$2:$A$25</xm:f>
          </x14:formula1>
          <xm:sqref>H8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BB6B-BD16-4B33-8CC1-8281D4967915}">
  <sheetPr codeName="Planilha3" filterMode="1"/>
  <dimension ref="A1:O103"/>
  <sheetViews>
    <sheetView workbookViewId="0">
      <selection activeCell="I2" sqref="I2:I11"/>
    </sheetView>
  </sheetViews>
  <sheetFormatPr defaultRowHeight="14.5"/>
  <cols>
    <col min="1" max="1" width="13.1796875" customWidth="1"/>
    <col min="2" max="2" width="10.54296875" customWidth="1"/>
    <col min="3" max="3" width="12.7265625" bestFit="1" customWidth="1"/>
    <col min="4" max="4" width="8.453125" customWidth="1"/>
    <col min="5" max="5" width="9.1796875" customWidth="1"/>
    <col min="6" max="6" width="13.54296875" customWidth="1"/>
    <col min="7" max="7" width="18.1796875" bestFit="1" customWidth="1"/>
    <col min="8" max="8" width="15.1796875" bestFit="1" customWidth="1"/>
    <col min="9" max="10" width="9.81640625" customWidth="1"/>
    <col min="11" max="11" width="15.453125" bestFit="1" customWidth="1"/>
    <col min="12" max="12" width="12.7265625" bestFit="1" customWidth="1"/>
    <col min="13" max="13" width="13.26953125" bestFit="1" customWidth="1"/>
    <col min="14" max="14" width="16.81640625" bestFit="1" customWidth="1"/>
    <col min="15" max="15" width="17.453125" bestFit="1" customWidth="1"/>
  </cols>
  <sheetData>
    <row r="1" spans="1:15" ht="15" thickBot="1">
      <c r="A1" s="34" t="s">
        <v>5</v>
      </c>
      <c r="B1" s="35" t="s">
        <v>1</v>
      </c>
      <c r="C1" s="35" t="s">
        <v>6</v>
      </c>
      <c r="D1" s="35" t="s">
        <v>3</v>
      </c>
      <c r="E1" s="35" t="s">
        <v>7</v>
      </c>
      <c r="F1" s="35" t="s">
        <v>13</v>
      </c>
      <c r="G1" s="35" t="s">
        <v>14</v>
      </c>
      <c r="H1" s="35" t="s">
        <v>36</v>
      </c>
      <c r="I1" s="35" t="s">
        <v>9</v>
      </c>
      <c r="J1" s="35" t="s">
        <v>100</v>
      </c>
      <c r="K1" s="35" t="s">
        <v>11</v>
      </c>
      <c r="L1" s="35" t="s">
        <v>30</v>
      </c>
      <c r="M1" s="35" t="s">
        <v>31</v>
      </c>
      <c r="N1" s="35" t="s">
        <v>32</v>
      </c>
      <c r="O1" s="36" t="s">
        <v>33</v>
      </c>
    </row>
    <row r="2" spans="1:15">
      <c r="A2" s="114" t="s">
        <v>54</v>
      </c>
      <c r="B2" s="114">
        <v>12790015618</v>
      </c>
      <c r="C2" s="114" t="s">
        <v>55</v>
      </c>
      <c r="D2" s="114" t="s">
        <v>84</v>
      </c>
      <c r="E2" s="114" t="s">
        <v>10</v>
      </c>
      <c r="F2" s="115">
        <v>1</v>
      </c>
      <c r="G2" s="115">
        <v>4</v>
      </c>
      <c r="H2" s="114">
        <v>2</v>
      </c>
      <c r="I2" s="114">
        <v>45107</v>
      </c>
      <c r="J2" s="43">
        <v>7</v>
      </c>
      <c r="K2" s="114" t="str">
        <f>TEXT(F2,"MMMM")</f>
        <v>janeiro</v>
      </c>
      <c r="L2" s="114" t="str">
        <f>TEXT(F2,"AAAA")</f>
        <v>1900</v>
      </c>
      <c r="M2" s="114" t="str">
        <f>TEXT(G2,"MMMM")</f>
        <v>janeiro</v>
      </c>
      <c r="N2" s="114" t="str">
        <f>TEXT(G2,"AAAA")</f>
        <v>1900</v>
      </c>
      <c r="O2" s="114"/>
    </row>
    <row r="3" spans="1:15">
      <c r="A3" s="114" t="s">
        <v>54</v>
      </c>
      <c r="B3" s="114">
        <v>12790015619</v>
      </c>
      <c r="C3" s="114" t="s">
        <v>55</v>
      </c>
      <c r="D3" s="114" t="s">
        <v>84</v>
      </c>
      <c r="E3" s="114" t="s">
        <v>10</v>
      </c>
      <c r="F3" s="115">
        <v>1</v>
      </c>
      <c r="G3" s="115">
        <v>35</v>
      </c>
      <c r="H3" s="114"/>
      <c r="I3" s="114">
        <v>45108</v>
      </c>
      <c r="J3" s="43">
        <v>7</v>
      </c>
      <c r="K3" s="114" t="str">
        <f t="shared" ref="K3:K11" si="0">TEXT(F3,"MMMM")</f>
        <v>janeiro</v>
      </c>
      <c r="L3" s="114" t="str">
        <f t="shared" ref="L3:L11" si="1">TEXT(F3,"AAAA")</f>
        <v>1900</v>
      </c>
      <c r="M3" s="114" t="str">
        <f t="shared" ref="M3:M11" si="2">TEXT(G3,"MMMM")</f>
        <v>fevereiro</v>
      </c>
      <c r="N3" s="114" t="str">
        <f t="shared" ref="N3:N11" si="3">TEXT(G3,"AAAA")</f>
        <v>1900</v>
      </c>
      <c r="O3" s="114"/>
    </row>
    <row r="4" spans="1:15">
      <c r="A4" s="114" t="s">
        <v>54</v>
      </c>
      <c r="B4" s="114">
        <v>12790015620</v>
      </c>
      <c r="C4" s="114" t="s">
        <v>55</v>
      </c>
      <c r="D4" s="114" t="s">
        <v>84</v>
      </c>
      <c r="E4" s="114" t="s">
        <v>10</v>
      </c>
      <c r="F4" s="115">
        <v>1</v>
      </c>
      <c r="G4" s="115">
        <v>64</v>
      </c>
      <c r="H4" s="114"/>
      <c r="I4" s="114">
        <v>45109</v>
      </c>
      <c r="J4" s="43">
        <v>7</v>
      </c>
      <c r="K4" s="114" t="str">
        <f t="shared" si="0"/>
        <v>janeiro</v>
      </c>
      <c r="L4" s="114" t="str">
        <f t="shared" si="1"/>
        <v>1900</v>
      </c>
      <c r="M4" s="114" t="str">
        <f t="shared" si="2"/>
        <v>março</v>
      </c>
      <c r="N4" s="114" t="str">
        <f t="shared" si="3"/>
        <v>1900</v>
      </c>
      <c r="O4" s="114"/>
    </row>
    <row r="5" spans="1:15">
      <c r="A5" s="114" t="s">
        <v>54</v>
      </c>
      <c r="B5" s="114">
        <v>12790015621</v>
      </c>
      <c r="C5" s="114" t="s">
        <v>55</v>
      </c>
      <c r="D5" s="114" t="s">
        <v>84</v>
      </c>
      <c r="E5" s="114" t="s">
        <v>10</v>
      </c>
      <c r="F5" s="115">
        <v>1</v>
      </c>
      <c r="G5" s="115">
        <v>95</v>
      </c>
      <c r="H5" s="114"/>
      <c r="I5" s="114">
        <v>45110</v>
      </c>
      <c r="J5" s="43">
        <v>7</v>
      </c>
      <c r="K5" s="114" t="str">
        <f t="shared" si="0"/>
        <v>janeiro</v>
      </c>
      <c r="L5" s="114" t="str">
        <f t="shared" si="1"/>
        <v>1900</v>
      </c>
      <c r="M5" s="114" t="str">
        <f t="shared" si="2"/>
        <v>abril</v>
      </c>
      <c r="N5" s="114" t="str">
        <f t="shared" si="3"/>
        <v>1900</v>
      </c>
      <c r="O5" s="114"/>
    </row>
    <row r="6" spans="1:15">
      <c r="A6" s="114" t="s">
        <v>54</v>
      </c>
      <c r="B6" s="114">
        <v>12790015622</v>
      </c>
      <c r="C6" s="114" t="s">
        <v>55</v>
      </c>
      <c r="D6" s="114" t="s">
        <v>84</v>
      </c>
      <c r="E6" s="114" t="s">
        <v>10</v>
      </c>
      <c r="F6" s="115">
        <v>1</v>
      </c>
      <c r="G6" s="115">
        <v>125</v>
      </c>
      <c r="H6" s="114"/>
      <c r="I6" s="114">
        <v>45111</v>
      </c>
      <c r="J6" s="43">
        <v>7</v>
      </c>
      <c r="K6" s="114" t="str">
        <f t="shared" si="0"/>
        <v>janeiro</v>
      </c>
      <c r="L6" s="114" t="str">
        <f t="shared" si="1"/>
        <v>1900</v>
      </c>
      <c r="M6" s="114" t="str">
        <f t="shared" si="2"/>
        <v>maio</v>
      </c>
      <c r="N6" s="114" t="str">
        <f t="shared" si="3"/>
        <v>1900</v>
      </c>
      <c r="O6" s="114"/>
    </row>
    <row r="7" spans="1:15">
      <c r="A7" s="114" t="s">
        <v>54</v>
      </c>
      <c r="B7" s="114">
        <v>12790015623</v>
      </c>
      <c r="C7" s="114" t="s">
        <v>55</v>
      </c>
      <c r="D7" s="114" t="s">
        <v>84</v>
      </c>
      <c r="E7" s="114" t="s">
        <v>10</v>
      </c>
      <c r="F7" s="115">
        <v>1</v>
      </c>
      <c r="G7" s="115">
        <v>156</v>
      </c>
      <c r="H7" s="114"/>
      <c r="I7" s="114">
        <v>45112</v>
      </c>
      <c r="J7" s="43">
        <v>7</v>
      </c>
      <c r="K7" s="114" t="str">
        <f t="shared" si="0"/>
        <v>janeiro</v>
      </c>
      <c r="L7" s="114" t="str">
        <f t="shared" si="1"/>
        <v>1900</v>
      </c>
      <c r="M7" s="114" t="str">
        <f t="shared" si="2"/>
        <v>junho</v>
      </c>
      <c r="N7" s="114" t="str">
        <f t="shared" si="3"/>
        <v>1900</v>
      </c>
      <c r="O7" s="114"/>
    </row>
    <row r="8" spans="1:15">
      <c r="A8" s="114" t="s">
        <v>54</v>
      </c>
      <c r="B8" s="114">
        <v>12790015624</v>
      </c>
      <c r="C8" s="114" t="s">
        <v>55</v>
      </c>
      <c r="D8" s="114" t="s">
        <v>84</v>
      </c>
      <c r="E8" s="114" t="s">
        <v>10</v>
      </c>
      <c r="F8" s="115">
        <v>1</v>
      </c>
      <c r="G8" s="115">
        <v>186</v>
      </c>
      <c r="H8" s="114"/>
      <c r="I8" s="114">
        <v>45113</v>
      </c>
      <c r="J8" s="43">
        <v>7</v>
      </c>
      <c r="K8" s="114" t="str">
        <f t="shared" si="0"/>
        <v>janeiro</v>
      </c>
      <c r="L8" s="114" t="str">
        <f t="shared" si="1"/>
        <v>1900</v>
      </c>
      <c r="M8" s="114" t="str">
        <f t="shared" si="2"/>
        <v>julho</v>
      </c>
      <c r="N8" s="114" t="str">
        <f t="shared" si="3"/>
        <v>1900</v>
      </c>
      <c r="O8" s="114"/>
    </row>
    <row r="9" spans="1:15">
      <c r="A9" s="114" t="s">
        <v>54</v>
      </c>
      <c r="B9" s="114">
        <v>12790015625</v>
      </c>
      <c r="C9" s="114" t="s">
        <v>55</v>
      </c>
      <c r="D9" s="114" t="s">
        <v>84</v>
      </c>
      <c r="E9" s="114" t="s">
        <v>10</v>
      </c>
      <c r="F9" s="115">
        <v>1</v>
      </c>
      <c r="G9" s="115">
        <v>217</v>
      </c>
      <c r="H9" s="114"/>
      <c r="I9" s="114">
        <v>45114</v>
      </c>
      <c r="J9" s="43">
        <v>7</v>
      </c>
      <c r="K9" s="114" t="str">
        <f t="shared" si="0"/>
        <v>janeiro</v>
      </c>
      <c r="L9" s="114" t="str">
        <f t="shared" si="1"/>
        <v>1900</v>
      </c>
      <c r="M9" s="114" t="str">
        <f t="shared" si="2"/>
        <v>agosto</v>
      </c>
      <c r="N9" s="114" t="str">
        <f t="shared" si="3"/>
        <v>1900</v>
      </c>
      <c r="O9" s="114"/>
    </row>
    <row r="10" spans="1:15">
      <c r="A10" s="114" t="s">
        <v>54</v>
      </c>
      <c r="B10" s="114">
        <v>12790015626</v>
      </c>
      <c r="C10" s="114" t="s">
        <v>55</v>
      </c>
      <c r="D10" s="114" t="s">
        <v>84</v>
      </c>
      <c r="E10" s="114" t="s">
        <v>10</v>
      </c>
      <c r="F10" s="115">
        <v>1</v>
      </c>
      <c r="G10" s="115">
        <v>248</v>
      </c>
      <c r="H10" s="114"/>
      <c r="I10" s="114">
        <v>45115</v>
      </c>
      <c r="J10" s="43">
        <v>7</v>
      </c>
      <c r="K10" s="114" t="str">
        <f t="shared" si="0"/>
        <v>janeiro</v>
      </c>
      <c r="L10" s="114" t="str">
        <f t="shared" si="1"/>
        <v>1900</v>
      </c>
      <c r="M10" s="114" t="str">
        <f t="shared" si="2"/>
        <v>setembro</v>
      </c>
      <c r="N10" s="114" t="str">
        <f t="shared" si="3"/>
        <v>1900</v>
      </c>
      <c r="O10" s="114"/>
    </row>
    <row r="11" spans="1:15">
      <c r="A11" s="114" t="s">
        <v>54</v>
      </c>
      <c r="B11" s="114">
        <v>12790015627</v>
      </c>
      <c r="C11" s="114" t="s">
        <v>55</v>
      </c>
      <c r="D11" s="114" t="s">
        <v>84</v>
      </c>
      <c r="E11" s="114" t="s">
        <v>10</v>
      </c>
      <c r="F11" s="115">
        <v>1</v>
      </c>
      <c r="G11" s="115">
        <v>278</v>
      </c>
      <c r="H11" s="114"/>
      <c r="I11" s="114">
        <v>45116</v>
      </c>
      <c r="J11" s="43">
        <v>7</v>
      </c>
      <c r="K11" s="114" t="str">
        <f t="shared" si="0"/>
        <v>janeiro</v>
      </c>
      <c r="L11" s="114" t="str">
        <f t="shared" si="1"/>
        <v>1900</v>
      </c>
      <c r="M11" s="114" t="str">
        <f t="shared" si="2"/>
        <v>outubro</v>
      </c>
      <c r="N11" s="114" t="str">
        <f t="shared" si="3"/>
        <v>1900</v>
      </c>
      <c r="O11" s="114"/>
    </row>
    <row r="12" spans="1:15" hidden="1">
      <c r="A12" s="41" t="s">
        <v>19</v>
      </c>
      <c r="B12" s="41">
        <v>202020202020</v>
      </c>
      <c r="C12" s="41">
        <v>22222</v>
      </c>
      <c r="D12" s="41" t="s">
        <v>16</v>
      </c>
      <c r="E12" s="41" t="s">
        <v>42</v>
      </c>
      <c r="F12" s="42">
        <v>45070</v>
      </c>
      <c r="G12" s="42">
        <v>45076</v>
      </c>
      <c r="H12" s="41">
        <v>340</v>
      </c>
      <c r="I12" s="41">
        <v>10</v>
      </c>
      <c r="J12" s="41">
        <v>1</v>
      </c>
      <c r="K12" s="43">
        <v>34</v>
      </c>
      <c r="L12" s="41" t="str">
        <f>TEXT(F12,"MMMM")</f>
        <v>maio</v>
      </c>
      <c r="M12" s="41" t="str">
        <f>TEXT(F12,"AAAA")</f>
        <v>2023</v>
      </c>
      <c r="N12" s="41" t="str">
        <f>TEXT(G12,"MMMM")</f>
        <v>maio</v>
      </c>
      <c r="O12" s="41" t="str">
        <f>TEXT(G12,"AAAA")</f>
        <v>2023</v>
      </c>
    </row>
    <row r="13" spans="1:15" hidden="1">
      <c r="A13" s="41" t="s">
        <v>19</v>
      </c>
      <c r="B13" s="41">
        <v>202020202020</v>
      </c>
      <c r="C13" s="41">
        <v>22222</v>
      </c>
      <c r="D13" s="41" t="s">
        <v>16</v>
      </c>
      <c r="E13" s="41" t="s">
        <v>42</v>
      </c>
      <c r="F13" s="42">
        <v>45070</v>
      </c>
      <c r="G13" s="42">
        <v>45107</v>
      </c>
      <c r="H13" s="41"/>
      <c r="I13" s="41">
        <v>10</v>
      </c>
      <c r="J13" s="41">
        <v>2</v>
      </c>
      <c r="K13" s="43">
        <v>34</v>
      </c>
      <c r="L13" s="41" t="str">
        <f t="shared" ref="L13:L21" si="4">TEXT(F13,"MMMM")</f>
        <v>maio</v>
      </c>
      <c r="M13" s="41" t="str">
        <f t="shared" ref="M13:M21" si="5">TEXT(F13,"AAAA")</f>
        <v>2023</v>
      </c>
      <c r="N13" s="41" t="str">
        <f t="shared" ref="N13:N21" si="6">TEXT(G13,"MMMM")</f>
        <v>junho</v>
      </c>
      <c r="O13" s="41" t="str">
        <f t="shared" ref="O13:O21" si="7">TEXT(G13,"AAAA")</f>
        <v>2023</v>
      </c>
    </row>
    <row r="14" spans="1:15" hidden="1">
      <c r="A14" s="41" t="s">
        <v>19</v>
      </c>
      <c r="B14" s="41">
        <v>202020202020</v>
      </c>
      <c r="C14" s="41">
        <v>22222</v>
      </c>
      <c r="D14" s="41" t="s">
        <v>16</v>
      </c>
      <c r="E14" s="41" t="s">
        <v>42</v>
      </c>
      <c r="F14" s="42">
        <v>45070</v>
      </c>
      <c r="G14" s="42">
        <v>45137</v>
      </c>
      <c r="H14" s="41"/>
      <c r="I14" s="41">
        <v>10</v>
      </c>
      <c r="J14" s="41">
        <v>3</v>
      </c>
      <c r="K14" s="43">
        <v>34</v>
      </c>
      <c r="L14" s="41" t="str">
        <f t="shared" si="4"/>
        <v>maio</v>
      </c>
      <c r="M14" s="41" t="str">
        <f t="shared" si="5"/>
        <v>2023</v>
      </c>
      <c r="N14" s="41" t="str">
        <f t="shared" si="6"/>
        <v>julho</v>
      </c>
      <c r="O14" s="41" t="str">
        <f t="shared" si="7"/>
        <v>2023</v>
      </c>
    </row>
    <row r="15" spans="1:15" hidden="1">
      <c r="A15" s="41" t="s">
        <v>19</v>
      </c>
      <c r="B15" s="41">
        <v>202020202020</v>
      </c>
      <c r="C15" s="41">
        <v>22222</v>
      </c>
      <c r="D15" s="41" t="s">
        <v>16</v>
      </c>
      <c r="E15" s="41" t="s">
        <v>42</v>
      </c>
      <c r="F15" s="42">
        <v>45070</v>
      </c>
      <c r="G15" s="42">
        <v>45168</v>
      </c>
      <c r="H15" s="41"/>
      <c r="I15" s="41">
        <v>10</v>
      </c>
      <c r="J15" s="41">
        <v>4</v>
      </c>
      <c r="K15" s="43">
        <v>34</v>
      </c>
      <c r="L15" s="41" t="str">
        <f t="shared" si="4"/>
        <v>maio</v>
      </c>
      <c r="M15" s="41" t="str">
        <f t="shared" si="5"/>
        <v>2023</v>
      </c>
      <c r="N15" s="41" t="str">
        <f t="shared" si="6"/>
        <v>agosto</v>
      </c>
      <c r="O15" s="41" t="str">
        <f t="shared" si="7"/>
        <v>2023</v>
      </c>
    </row>
    <row r="16" spans="1:15" hidden="1">
      <c r="A16" s="41" t="s">
        <v>19</v>
      </c>
      <c r="B16" s="41">
        <v>202020202020</v>
      </c>
      <c r="C16" s="41">
        <v>22222</v>
      </c>
      <c r="D16" s="41" t="s">
        <v>16</v>
      </c>
      <c r="E16" s="41" t="s">
        <v>42</v>
      </c>
      <c r="F16" s="42">
        <v>45070</v>
      </c>
      <c r="G16" s="42">
        <v>45199</v>
      </c>
      <c r="H16" s="41"/>
      <c r="I16" s="41">
        <v>10</v>
      </c>
      <c r="J16" s="41">
        <v>5</v>
      </c>
      <c r="K16" s="43">
        <v>34</v>
      </c>
      <c r="L16" s="41" t="str">
        <f t="shared" si="4"/>
        <v>maio</v>
      </c>
      <c r="M16" s="41" t="str">
        <f t="shared" si="5"/>
        <v>2023</v>
      </c>
      <c r="N16" s="41" t="str">
        <f t="shared" si="6"/>
        <v>setembro</v>
      </c>
      <c r="O16" s="41" t="str">
        <f t="shared" si="7"/>
        <v>2023</v>
      </c>
    </row>
    <row r="17" spans="1:15" hidden="1">
      <c r="A17" s="41" t="s">
        <v>19</v>
      </c>
      <c r="B17" s="41">
        <v>202020202020</v>
      </c>
      <c r="C17" s="41">
        <v>22222</v>
      </c>
      <c r="D17" s="41" t="s">
        <v>16</v>
      </c>
      <c r="E17" s="41" t="s">
        <v>42</v>
      </c>
      <c r="F17" s="42">
        <v>45070</v>
      </c>
      <c r="G17" s="42">
        <v>45229</v>
      </c>
      <c r="H17" s="41"/>
      <c r="I17" s="41">
        <v>10</v>
      </c>
      <c r="J17" s="41">
        <v>6</v>
      </c>
      <c r="K17" s="43">
        <v>34</v>
      </c>
      <c r="L17" s="41" t="str">
        <f t="shared" si="4"/>
        <v>maio</v>
      </c>
      <c r="M17" s="41" t="str">
        <f t="shared" si="5"/>
        <v>2023</v>
      </c>
      <c r="N17" s="41" t="str">
        <f t="shared" si="6"/>
        <v>outubro</v>
      </c>
      <c r="O17" s="41" t="str">
        <f t="shared" si="7"/>
        <v>2023</v>
      </c>
    </row>
    <row r="18" spans="1:15" hidden="1">
      <c r="A18" s="41" t="s">
        <v>19</v>
      </c>
      <c r="B18" s="41">
        <v>202020202020</v>
      </c>
      <c r="C18" s="41">
        <v>22222</v>
      </c>
      <c r="D18" s="41" t="s">
        <v>16</v>
      </c>
      <c r="E18" s="41" t="s">
        <v>42</v>
      </c>
      <c r="F18" s="42">
        <v>45070</v>
      </c>
      <c r="G18" s="42">
        <v>45260</v>
      </c>
      <c r="H18" s="41"/>
      <c r="I18" s="41">
        <v>10</v>
      </c>
      <c r="J18" s="41">
        <v>7</v>
      </c>
      <c r="K18" s="43">
        <v>34</v>
      </c>
      <c r="L18" s="41" t="str">
        <f t="shared" si="4"/>
        <v>maio</v>
      </c>
      <c r="M18" s="41" t="str">
        <f t="shared" si="5"/>
        <v>2023</v>
      </c>
      <c r="N18" s="41" t="str">
        <f t="shared" si="6"/>
        <v>novembro</v>
      </c>
      <c r="O18" s="41" t="str">
        <f t="shared" si="7"/>
        <v>2023</v>
      </c>
    </row>
    <row r="19" spans="1:15" hidden="1">
      <c r="A19" s="41" t="s">
        <v>19</v>
      </c>
      <c r="B19" s="41">
        <v>202020202020</v>
      </c>
      <c r="C19" s="41">
        <v>22222</v>
      </c>
      <c r="D19" s="41" t="s">
        <v>16</v>
      </c>
      <c r="E19" s="41" t="s">
        <v>42</v>
      </c>
      <c r="F19" s="42">
        <v>45070</v>
      </c>
      <c r="G19" s="42">
        <v>45290</v>
      </c>
      <c r="H19" s="41"/>
      <c r="I19" s="41">
        <v>10</v>
      </c>
      <c r="J19" s="41">
        <v>8</v>
      </c>
      <c r="K19" s="43">
        <v>34</v>
      </c>
      <c r="L19" s="41" t="str">
        <f t="shared" si="4"/>
        <v>maio</v>
      </c>
      <c r="M19" s="41" t="str">
        <f t="shared" si="5"/>
        <v>2023</v>
      </c>
      <c r="N19" s="41" t="str">
        <f t="shared" si="6"/>
        <v>dezembro</v>
      </c>
      <c r="O19" s="41" t="str">
        <f t="shared" si="7"/>
        <v>2023</v>
      </c>
    </row>
    <row r="20" spans="1:15">
      <c r="A20" s="41" t="s">
        <v>19</v>
      </c>
      <c r="B20" s="41">
        <v>202020202020</v>
      </c>
      <c r="C20" s="41">
        <v>22222</v>
      </c>
      <c r="D20" s="41" t="s">
        <v>16</v>
      </c>
      <c r="E20" s="41" t="s">
        <v>42</v>
      </c>
      <c r="F20" s="42">
        <v>45070</v>
      </c>
      <c r="G20" s="42">
        <v>45321</v>
      </c>
      <c r="H20" s="41"/>
      <c r="I20" s="41">
        <v>10</v>
      </c>
      <c r="J20" s="41">
        <v>9</v>
      </c>
      <c r="K20" s="43">
        <v>34</v>
      </c>
      <c r="L20" s="41" t="str">
        <f t="shared" si="4"/>
        <v>maio</v>
      </c>
      <c r="M20" s="41" t="str">
        <f t="shared" si="5"/>
        <v>2023</v>
      </c>
      <c r="N20" s="41" t="str">
        <f t="shared" si="6"/>
        <v>janeiro</v>
      </c>
      <c r="O20" s="41" t="str">
        <f t="shared" si="7"/>
        <v>2024</v>
      </c>
    </row>
    <row r="21" spans="1:15">
      <c r="A21" s="41" t="s">
        <v>19</v>
      </c>
      <c r="B21" s="41">
        <v>202020202020</v>
      </c>
      <c r="C21" s="41">
        <v>22222</v>
      </c>
      <c r="D21" s="41" t="s">
        <v>16</v>
      </c>
      <c r="E21" s="41" t="s">
        <v>42</v>
      </c>
      <c r="F21" s="42">
        <v>45070</v>
      </c>
      <c r="G21" s="42">
        <v>45351</v>
      </c>
      <c r="H21" s="41"/>
      <c r="I21" s="41">
        <v>10</v>
      </c>
      <c r="J21" s="41">
        <v>10</v>
      </c>
      <c r="K21" s="43">
        <v>34</v>
      </c>
      <c r="L21" s="41" t="str">
        <f t="shared" si="4"/>
        <v>maio</v>
      </c>
      <c r="M21" s="41" t="str">
        <f t="shared" si="5"/>
        <v>2023</v>
      </c>
      <c r="N21" s="41" t="str">
        <f t="shared" si="6"/>
        <v>fevereiro</v>
      </c>
      <c r="O21" s="41" t="str">
        <f t="shared" si="7"/>
        <v>2024</v>
      </c>
    </row>
    <row r="22" spans="1:15" hidden="1">
      <c r="A22" s="41" t="s">
        <v>19</v>
      </c>
      <c r="B22" s="41">
        <v>202020202020</v>
      </c>
      <c r="C22" s="41">
        <v>22222</v>
      </c>
      <c r="D22" s="41" t="s">
        <v>16</v>
      </c>
      <c r="E22" s="41" t="s">
        <v>41</v>
      </c>
      <c r="F22" s="42">
        <v>45070</v>
      </c>
      <c r="G22" s="42">
        <v>45076</v>
      </c>
      <c r="H22" s="41">
        <v>340</v>
      </c>
      <c r="I22" s="41">
        <v>10</v>
      </c>
      <c r="J22" s="41">
        <v>1</v>
      </c>
      <c r="K22" s="43">
        <v>34</v>
      </c>
      <c r="L22" s="41" t="str">
        <f>TEXT(F22,"MMMM")</f>
        <v>maio</v>
      </c>
      <c r="M22" s="41" t="str">
        <f>TEXT(F22,"AAAA")</f>
        <v>2023</v>
      </c>
      <c r="N22" s="41" t="str">
        <f>TEXT(G22,"MMMM")</f>
        <v>maio</v>
      </c>
      <c r="O22" s="41" t="str">
        <f>TEXT(G22,"AAAA")</f>
        <v>2023</v>
      </c>
    </row>
    <row r="23" spans="1:15" hidden="1">
      <c r="A23" s="41" t="s">
        <v>19</v>
      </c>
      <c r="B23" s="41">
        <v>202020202020</v>
      </c>
      <c r="C23" s="41">
        <v>22222</v>
      </c>
      <c r="D23" s="41" t="s">
        <v>16</v>
      </c>
      <c r="E23" s="41" t="s">
        <v>41</v>
      </c>
      <c r="F23" s="42">
        <v>45070</v>
      </c>
      <c r="G23" s="42">
        <v>45107</v>
      </c>
      <c r="H23" s="41"/>
      <c r="I23" s="41">
        <v>10</v>
      </c>
      <c r="J23" s="41">
        <v>2</v>
      </c>
      <c r="K23" s="43">
        <v>34</v>
      </c>
      <c r="L23" s="41" t="str">
        <f t="shared" ref="L23:L31" si="8">TEXT(F23,"MMMM")</f>
        <v>maio</v>
      </c>
      <c r="M23" s="41" t="str">
        <f t="shared" ref="M23:M31" si="9">TEXT(F23,"AAAA")</f>
        <v>2023</v>
      </c>
      <c r="N23" s="41" t="str">
        <f t="shared" ref="N23:N31" si="10">TEXT(G23,"MMMM")</f>
        <v>junho</v>
      </c>
      <c r="O23" s="41" t="str">
        <f t="shared" ref="O23:O31" si="11">TEXT(G23,"AAAA")</f>
        <v>2023</v>
      </c>
    </row>
    <row r="24" spans="1:15" hidden="1">
      <c r="A24" s="41" t="s">
        <v>19</v>
      </c>
      <c r="B24" s="41">
        <v>202020202020</v>
      </c>
      <c r="C24" s="41">
        <v>22222</v>
      </c>
      <c r="D24" s="41" t="s">
        <v>16</v>
      </c>
      <c r="E24" s="41" t="s">
        <v>41</v>
      </c>
      <c r="F24" s="42">
        <v>45070</v>
      </c>
      <c r="G24" s="42">
        <v>45137</v>
      </c>
      <c r="H24" s="41"/>
      <c r="I24" s="41">
        <v>10</v>
      </c>
      <c r="J24" s="41">
        <v>3</v>
      </c>
      <c r="K24" s="43">
        <v>34</v>
      </c>
      <c r="L24" s="41" t="str">
        <f t="shared" si="8"/>
        <v>maio</v>
      </c>
      <c r="M24" s="41" t="str">
        <f t="shared" si="9"/>
        <v>2023</v>
      </c>
      <c r="N24" s="41" t="str">
        <f t="shared" si="10"/>
        <v>julho</v>
      </c>
      <c r="O24" s="41" t="str">
        <f t="shared" si="11"/>
        <v>2023</v>
      </c>
    </row>
    <row r="25" spans="1:15" hidden="1">
      <c r="A25" s="41" t="s">
        <v>19</v>
      </c>
      <c r="B25" s="41">
        <v>202020202020</v>
      </c>
      <c r="C25" s="41">
        <v>22222</v>
      </c>
      <c r="D25" s="41" t="s">
        <v>16</v>
      </c>
      <c r="E25" s="41" t="s">
        <v>41</v>
      </c>
      <c r="F25" s="42">
        <v>45070</v>
      </c>
      <c r="G25" s="42">
        <v>45168</v>
      </c>
      <c r="H25" s="41"/>
      <c r="I25" s="41">
        <v>10</v>
      </c>
      <c r="J25" s="41">
        <v>4</v>
      </c>
      <c r="K25" s="43">
        <v>34</v>
      </c>
      <c r="L25" s="41" t="str">
        <f t="shared" si="8"/>
        <v>maio</v>
      </c>
      <c r="M25" s="41" t="str">
        <f t="shared" si="9"/>
        <v>2023</v>
      </c>
      <c r="N25" s="41" t="str">
        <f t="shared" si="10"/>
        <v>agosto</v>
      </c>
      <c r="O25" s="41" t="str">
        <f t="shared" si="11"/>
        <v>2023</v>
      </c>
    </row>
    <row r="26" spans="1:15" hidden="1">
      <c r="A26" s="41" t="s">
        <v>19</v>
      </c>
      <c r="B26" s="41">
        <v>202020202020</v>
      </c>
      <c r="C26" s="41">
        <v>22222</v>
      </c>
      <c r="D26" s="41" t="s">
        <v>16</v>
      </c>
      <c r="E26" s="41" t="s">
        <v>41</v>
      </c>
      <c r="F26" s="42">
        <v>45070</v>
      </c>
      <c r="G26" s="42">
        <v>45199</v>
      </c>
      <c r="H26" s="41"/>
      <c r="I26" s="41">
        <v>10</v>
      </c>
      <c r="J26" s="41">
        <v>5</v>
      </c>
      <c r="K26" s="43">
        <v>34</v>
      </c>
      <c r="L26" s="41" t="str">
        <f t="shared" si="8"/>
        <v>maio</v>
      </c>
      <c r="M26" s="41" t="str">
        <f t="shared" si="9"/>
        <v>2023</v>
      </c>
      <c r="N26" s="41" t="str">
        <f t="shared" si="10"/>
        <v>setembro</v>
      </c>
      <c r="O26" s="41" t="str">
        <f t="shared" si="11"/>
        <v>2023</v>
      </c>
    </row>
    <row r="27" spans="1:15" hidden="1">
      <c r="A27" s="41" t="s">
        <v>19</v>
      </c>
      <c r="B27" s="41">
        <v>202020202020</v>
      </c>
      <c r="C27" s="41">
        <v>22222</v>
      </c>
      <c r="D27" s="41" t="s">
        <v>16</v>
      </c>
      <c r="E27" s="41" t="s">
        <v>41</v>
      </c>
      <c r="F27" s="42">
        <v>45070</v>
      </c>
      <c r="G27" s="42">
        <v>45229</v>
      </c>
      <c r="H27" s="41"/>
      <c r="I27" s="41">
        <v>10</v>
      </c>
      <c r="J27" s="41">
        <v>6</v>
      </c>
      <c r="K27" s="43">
        <v>34</v>
      </c>
      <c r="L27" s="41" t="str">
        <f t="shared" si="8"/>
        <v>maio</v>
      </c>
      <c r="M27" s="41" t="str">
        <f t="shared" si="9"/>
        <v>2023</v>
      </c>
      <c r="N27" s="41" t="str">
        <f t="shared" si="10"/>
        <v>outubro</v>
      </c>
      <c r="O27" s="41" t="str">
        <f t="shared" si="11"/>
        <v>2023</v>
      </c>
    </row>
    <row r="28" spans="1:15" hidden="1">
      <c r="A28" s="41" t="s">
        <v>19</v>
      </c>
      <c r="B28" s="41">
        <v>202020202020</v>
      </c>
      <c r="C28" s="41">
        <v>22222</v>
      </c>
      <c r="D28" s="41" t="s">
        <v>16</v>
      </c>
      <c r="E28" s="41" t="s">
        <v>41</v>
      </c>
      <c r="F28" s="42">
        <v>45070</v>
      </c>
      <c r="G28" s="42">
        <v>45260</v>
      </c>
      <c r="H28" s="41"/>
      <c r="I28" s="41">
        <v>10</v>
      </c>
      <c r="J28" s="41">
        <v>7</v>
      </c>
      <c r="K28" s="43">
        <v>34</v>
      </c>
      <c r="L28" s="41" t="str">
        <f t="shared" si="8"/>
        <v>maio</v>
      </c>
      <c r="M28" s="41" t="str">
        <f t="shared" si="9"/>
        <v>2023</v>
      </c>
      <c r="N28" s="41" t="str">
        <f t="shared" si="10"/>
        <v>novembro</v>
      </c>
      <c r="O28" s="41" t="str">
        <f t="shared" si="11"/>
        <v>2023</v>
      </c>
    </row>
    <row r="29" spans="1:15" hidden="1">
      <c r="A29" s="41" t="s">
        <v>19</v>
      </c>
      <c r="B29" s="41">
        <v>202020202020</v>
      </c>
      <c r="C29" s="41">
        <v>22222</v>
      </c>
      <c r="D29" s="41" t="s">
        <v>16</v>
      </c>
      <c r="E29" s="41" t="s">
        <v>41</v>
      </c>
      <c r="F29" s="42">
        <v>45070</v>
      </c>
      <c r="G29" s="42">
        <v>45290</v>
      </c>
      <c r="H29" s="41"/>
      <c r="I29" s="41">
        <v>10</v>
      </c>
      <c r="J29" s="41">
        <v>8</v>
      </c>
      <c r="K29" s="43">
        <v>34</v>
      </c>
      <c r="L29" s="41" t="str">
        <f t="shared" si="8"/>
        <v>maio</v>
      </c>
      <c r="M29" s="41" t="str">
        <f t="shared" si="9"/>
        <v>2023</v>
      </c>
      <c r="N29" s="41" t="str">
        <f t="shared" si="10"/>
        <v>dezembro</v>
      </c>
      <c r="O29" s="41" t="str">
        <f t="shared" si="11"/>
        <v>2023</v>
      </c>
    </row>
    <row r="30" spans="1:15">
      <c r="A30" s="41" t="s">
        <v>19</v>
      </c>
      <c r="B30" s="41">
        <v>202020202020</v>
      </c>
      <c r="C30" s="41">
        <v>22222</v>
      </c>
      <c r="D30" s="41" t="s">
        <v>16</v>
      </c>
      <c r="E30" s="41" t="s">
        <v>41</v>
      </c>
      <c r="F30" s="42">
        <v>45070</v>
      </c>
      <c r="G30" s="42">
        <v>45321</v>
      </c>
      <c r="H30" s="41"/>
      <c r="I30" s="41">
        <v>10</v>
      </c>
      <c r="J30" s="41">
        <v>9</v>
      </c>
      <c r="K30" s="43">
        <v>34</v>
      </c>
      <c r="L30" s="41" t="str">
        <f t="shared" si="8"/>
        <v>maio</v>
      </c>
      <c r="M30" s="41" t="str">
        <f t="shared" si="9"/>
        <v>2023</v>
      </c>
      <c r="N30" s="41" t="str">
        <f t="shared" si="10"/>
        <v>janeiro</v>
      </c>
      <c r="O30" s="41" t="str">
        <f t="shared" si="11"/>
        <v>2024</v>
      </c>
    </row>
    <row r="31" spans="1:15">
      <c r="A31" s="41" t="s">
        <v>19</v>
      </c>
      <c r="B31" s="41">
        <v>202020202020</v>
      </c>
      <c r="C31" s="41">
        <v>22222</v>
      </c>
      <c r="D31" s="41" t="s">
        <v>16</v>
      </c>
      <c r="E31" s="41" t="s">
        <v>41</v>
      </c>
      <c r="F31" s="42">
        <v>45070</v>
      </c>
      <c r="G31" s="42">
        <v>45351</v>
      </c>
      <c r="H31" s="41"/>
      <c r="I31" s="41">
        <v>10</v>
      </c>
      <c r="J31" s="41">
        <v>10</v>
      </c>
      <c r="K31" s="43">
        <v>34</v>
      </c>
      <c r="L31" s="41" t="str">
        <f t="shared" si="8"/>
        <v>maio</v>
      </c>
      <c r="M31" s="41" t="str">
        <f t="shared" si="9"/>
        <v>2023</v>
      </c>
      <c r="N31" s="41" t="str">
        <f t="shared" si="10"/>
        <v>fevereiro</v>
      </c>
      <c r="O31" s="41" t="str">
        <f t="shared" si="11"/>
        <v>2024</v>
      </c>
    </row>
    <row r="32" spans="1:15" hidden="1">
      <c r="A32" s="41" t="s">
        <v>37</v>
      </c>
      <c r="B32" s="41">
        <v>33311122200</v>
      </c>
      <c r="C32" s="41">
        <v>1122334445</v>
      </c>
      <c r="D32" s="41" t="s">
        <v>38</v>
      </c>
      <c r="E32" s="41" t="s">
        <v>40</v>
      </c>
      <c r="F32" s="42">
        <v>45070</v>
      </c>
      <c r="G32" s="42">
        <v>45076</v>
      </c>
      <c r="H32" s="41">
        <v>4560</v>
      </c>
      <c r="I32" s="41">
        <v>10</v>
      </c>
      <c r="J32" s="41">
        <v>1</v>
      </c>
      <c r="K32" s="43">
        <v>45.6</v>
      </c>
      <c r="L32" s="41" t="str">
        <f>TEXT(F32,"MMMM")</f>
        <v>maio</v>
      </c>
      <c r="M32" s="41" t="str">
        <f>TEXT(F32,"AAAA")</f>
        <v>2023</v>
      </c>
      <c r="N32" s="41" t="str">
        <f>TEXT(G32,"MMMM")</f>
        <v>maio</v>
      </c>
      <c r="O32" s="41" t="str">
        <f>TEXT(G32,"AAAA")</f>
        <v>2023</v>
      </c>
    </row>
    <row r="33" spans="1:15" hidden="1">
      <c r="A33" s="41" t="s">
        <v>37</v>
      </c>
      <c r="B33" s="41">
        <v>33311122200</v>
      </c>
      <c r="C33" s="41">
        <v>1122334445</v>
      </c>
      <c r="D33" s="41" t="s">
        <v>38</v>
      </c>
      <c r="E33" s="41" t="s">
        <v>40</v>
      </c>
      <c r="F33" s="42">
        <v>45070</v>
      </c>
      <c r="G33" s="42">
        <v>45107</v>
      </c>
      <c r="H33" s="41"/>
      <c r="I33" s="41">
        <v>10</v>
      </c>
      <c r="J33" s="41">
        <v>2</v>
      </c>
      <c r="K33" s="43">
        <v>45.6</v>
      </c>
      <c r="L33" s="41" t="str">
        <f t="shared" ref="L33:L41" si="12">TEXT(F33,"MMMM")</f>
        <v>maio</v>
      </c>
      <c r="M33" s="41" t="str">
        <f t="shared" ref="M33:M41" si="13">TEXT(F33,"AAAA")</f>
        <v>2023</v>
      </c>
      <c r="N33" s="41" t="str">
        <f t="shared" ref="N33:N41" si="14">TEXT(G33,"MMMM")</f>
        <v>junho</v>
      </c>
      <c r="O33" s="41" t="str">
        <f t="shared" ref="O33:O41" si="15">TEXT(G33,"AAAA")</f>
        <v>2023</v>
      </c>
    </row>
    <row r="34" spans="1:15" hidden="1">
      <c r="A34" s="41" t="s">
        <v>37</v>
      </c>
      <c r="B34" s="41">
        <v>33311122200</v>
      </c>
      <c r="C34" s="41">
        <v>1122334445</v>
      </c>
      <c r="D34" s="41" t="s">
        <v>38</v>
      </c>
      <c r="E34" s="41" t="s">
        <v>40</v>
      </c>
      <c r="F34" s="42">
        <v>45070</v>
      </c>
      <c r="G34" s="42">
        <v>45137</v>
      </c>
      <c r="H34" s="41"/>
      <c r="I34" s="41">
        <v>10</v>
      </c>
      <c r="J34" s="41">
        <v>3</v>
      </c>
      <c r="K34" s="43">
        <v>45.6</v>
      </c>
      <c r="L34" s="41" t="str">
        <f t="shared" si="12"/>
        <v>maio</v>
      </c>
      <c r="M34" s="41" t="str">
        <f t="shared" si="13"/>
        <v>2023</v>
      </c>
      <c r="N34" s="41" t="str">
        <f t="shared" si="14"/>
        <v>julho</v>
      </c>
      <c r="O34" s="41" t="str">
        <f t="shared" si="15"/>
        <v>2023</v>
      </c>
    </row>
    <row r="35" spans="1:15" hidden="1">
      <c r="A35" s="41" t="s">
        <v>37</v>
      </c>
      <c r="B35" s="41">
        <v>33311122200</v>
      </c>
      <c r="C35" s="41">
        <v>1122334445</v>
      </c>
      <c r="D35" s="41" t="s">
        <v>38</v>
      </c>
      <c r="E35" s="41" t="s">
        <v>40</v>
      </c>
      <c r="F35" s="42">
        <v>45070</v>
      </c>
      <c r="G35" s="42">
        <v>45168</v>
      </c>
      <c r="H35" s="41"/>
      <c r="I35" s="41">
        <v>10</v>
      </c>
      <c r="J35" s="41">
        <v>4</v>
      </c>
      <c r="K35" s="43">
        <v>45.6</v>
      </c>
      <c r="L35" s="41" t="str">
        <f t="shared" si="12"/>
        <v>maio</v>
      </c>
      <c r="M35" s="41" t="str">
        <f t="shared" si="13"/>
        <v>2023</v>
      </c>
      <c r="N35" s="41" t="str">
        <f t="shared" si="14"/>
        <v>agosto</v>
      </c>
      <c r="O35" s="41" t="str">
        <f t="shared" si="15"/>
        <v>2023</v>
      </c>
    </row>
    <row r="36" spans="1:15" hidden="1">
      <c r="A36" s="41" t="s">
        <v>37</v>
      </c>
      <c r="B36" s="41">
        <v>33311122200</v>
      </c>
      <c r="C36" s="41">
        <v>1122334445</v>
      </c>
      <c r="D36" s="41" t="s">
        <v>38</v>
      </c>
      <c r="E36" s="41" t="s">
        <v>40</v>
      </c>
      <c r="F36" s="42">
        <v>45070</v>
      </c>
      <c r="G36" s="42">
        <v>45199</v>
      </c>
      <c r="H36" s="41"/>
      <c r="I36" s="41">
        <v>10</v>
      </c>
      <c r="J36" s="41">
        <v>5</v>
      </c>
      <c r="K36" s="43">
        <v>45.6</v>
      </c>
      <c r="L36" s="41" t="str">
        <f t="shared" si="12"/>
        <v>maio</v>
      </c>
      <c r="M36" s="41" t="str">
        <f t="shared" si="13"/>
        <v>2023</v>
      </c>
      <c r="N36" s="41" t="str">
        <f t="shared" si="14"/>
        <v>setembro</v>
      </c>
      <c r="O36" s="41" t="str">
        <f t="shared" si="15"/>
        <v>2023</v>
      </c>
    </row>
    <row r="37" spans="1:15" hidden="1">
      <c r="A37" s="41" t="s">
        <v>37</v>
      </c>
      <c r="B37" s="41">
        <v>33311122200</v>
      </c>
      <c r="C37" s="41">
        <v>1122334445</v>
      </c>
      <c r="D37" s="41" t="s">
        <v>38</v>
      </c>
      <c r="E37" s="41" t="s">
        <v>40</v>
      </c>
      <c r="F37" s="42">
        <v>45070</v>
      </c>
      <c r="G37" s="42">
        <v>45229</v>
      </c>
      <c r="H37" s="41"/>
      <c r="I37" s="41">
        <v>10</v>
      </c>
      <c r="J37" s="41">
        <v>6</v>
      </c>
      <c r="K37" s="43">
        <v>45.6</v>
      </c>
      <c r="L37" s="41" t="str">
        <f t="shared" si="12"/>
        <v>maio</v>
      </c>
      <c r="M37" s="41" t="str">
        <f t="shared" si="13"/>
        <v>2023</v>
      </c>
      <c r="N37" s="41" t="str">
        <f t="shared" si="14"/>
        <v>outubro</v>
      </c>
      <c r="O37" s="41" t="str">
        <f t="shared" si="15"/>
        <v>2023</v>
      </c>
    </row>
    <row r="38" spans="1:15" hidden="1">
      <c r="A38" s="41" t="s">
        <v>37</v>
      </c>
      <c r="B38" s="41">
        <v>33311122200</v>
      </c>
      <c r="C38" s="41">
        <v>1122334445</v>
      </c>
      <c r="D38" s="41" t="s">
        <v>38</v>
      </c>
      <c r="E38" s="41" t="s">
        <v>40</v>
      </c>
      <c r="F38" s="42">
        <v>45070</v>
      </c>
      <c r="G38" s="42">
        <v>45260</v>
      </c>
      <c r="H38" s="41"/>
      <c r="I38" s="41">
        <v>10</v>
      </c>
      <c r="J38" s="41">
        <v>7</v>
      </c>
      <c r="K38" s="43">
        <v>45.6</v>
      </c>
      <c r="L38" s="41" t="str">
        <f t="shared" si="12"/>
        <v>maio</v>
      </c>
      <c r="M38" s="41" t="str">
        <f t="shared" si="13"/>
        <v>2023</v>
      </c>
      <c r="N38" s="41" t="str">
        <f t="shared" si="14"/>
        <v>novembro</v>
      </c>
      <c r="O38" s="41" t="str">
        <f t="shared" si="15"/>
        <v>2023</v>
      </c>
    </row>
    <row r="39" spans="1:15" hidden="1">
      <c r="A39" s="41" t="s">
        <v>37</v>
      </c>
      <c r="B39" s="41">
        <v>33311122200</v>
      </c>
      <c r="C39" s="41">
        <v>1122334445</v>
      </c>
      <c r="D39" s="41" t="s">
        <v>38</v>
      </c>
      <c r="E39" s="41" t="s">
        <v>40</v>
      </c>
      <c r="F39" s="42">
        <v>45070</v>
      </c>
      <c r="G39" s="42">
        <v>45290</v>
      </c>
      <c r="H39" s="41"/>
      <c r="I39" s="41">
        <v>10</v>
      </c>
      <c r="J39" s="41">
        <v>8</v>
      </c>
      <c r="K39" s="43">
        <v>45.6</v>
      </c>
      <c r="L39" s="41" t="str">
        <f t="shared" si="12"/>
        <v>maio</v>
      </c>
      <c r="M39" s="41" t="str">
        <f t="shared" si="13"/>
        <v>2023</v>
      </c>
      <c r="N39" s="41" t="str">
        <f t="shared" si="14"/>
        <v>dezembro</v>
      </c>
      <c r="O39" s="41" t="str">
        <f t="shared" si="15"/>
        <v>2023</v>
      </c>
    </row>
    <row r="40" spans="1:15">
      <c r="A40" s="41" t="s">
        <v>37</v>
      </c>
      <c r="B40" s="41">
        <v>33311122200</v>
      </c>
      <c r="C40" s="41">
        <v>1122334445</v>
      </c>
      <c r="D40" s="41" t="s">
        <v>38</v>
      </c>
      <c r="E40" s="41" t="s">
        <v>40</v>
      </c>
      <c r="F40" s="42">
        <v>45070</v>
      </c>
      <c r="G40" s="42">
        <v>45321</v>
      </c>
      <c r="H40" s="41"/>
      <c r="I40" s="41">
        <v>10</v>
      </c>
      <c r="J40" s="41">
        <v>9</v>
      </c>
      <c r="K40" s="43">
        <v>45.6</v>
      </c>
      <c r="L40" s="41" t="str">
        <f t="shared" si="12"/>
        <v>maio</v>
      </c>
      <c r="M40" s="41" t="str">
        <f t="shared" si="13"/>
        <v>2023</v>
      </c>
      <c r="N40" s="41" t="str">
        <f t="shared" si="14"/>
        <v>janeiro</v>
      </c>
      <c r="O40" s="41" t="str">
        <f t="shared" si="15"/>
        <v>2024</v>
      </c>
    </row>
    <row r="41" spans="1:15">
      <c r="A41" s="41" t="s">
        <v>37</v>
      </c>
      <c r="B41" s="41">
        <v>33311122200</v>
      </c>
      <c r="C41" s="41">
        <v>1122334445</v>
      </c>
      <c r="D41" s="41" t="s">
        <v>38</v>
      </c>
      <c r="E41" s="41" t="s">
        <v>40</v>
      </c>
      <c r="F41" s="42">
        <v>45070</v>
      </c>
      <c r="G41" s="42">
        <v>45351</v>
      </c>
      <c r="H41" s="41"/>
      <c r="I41" s="41">
        <v>10</v>
      </c>
      <c r="J41" s="41">
        <v>10</v>
      </c>
      <c r="K41" s="43">
        <v>45.6</v>
      </c>
      <c r="L41" s="41" t="str">
        <f t="shared" si="12"/>
        <v>maio</v>
      </c>
      <c r="M41" s="41" t="str">
        <f t="shared" si="13"/>
        <v>2023</v>
      </c>
      <c r="N41" s="41" t="str">
        <f t="shared" si="14"/>
        <v>fevereiro</v>
      </c>
      <c r="O41" s="41" t="str">
        <f t="shared" si="15"/>
        <v>2024</v>
      </c>
    </row>
    <row r="42" spans="1:15" hidden="1">
      <c r="A42" s="41" t="s">
        <v>37</v>
      </c>
      <c r="B42" s="41">
        <v>33311122200</v>
      </c>
      <c r="C42" s="41">
        <v>1122334445</v>
      </c>
      <c r="D42" s="41" t="s">
        <v>38</v>
      </c>
      <c r="E42" s="41" t="s">
        <v>40</v>
      </c>
      <c r="F42" s="42">
        <v>45070</v>
      </c>
      <c r="G42" s="42">
        <v>45076</v>
      </c>
      <c r="H42" s="41">
        <v>4560</v>
      </c>
      <c r="I42" s="41">
        <v>10</v>
      </c>
      <c r="J42" s="41">
        <v>1</v>
      </c>
      <c r="K42" s="43">
        <v>45.6</v>
      </c>
      <c r="L42" s="41" t="str">
        <f>TEXT(F42,"MMMM")</f>
        <v>maio</v>
      </c>
      <c r="M42" s="41" t="str">
        <f>TEXT(F42,"AAAA")</f>
        <v>2023</v>
      </c>
      <c r="N42" s="41" t="str">
        <f>TEXT(G42,"MMMM")</f>
        <v>maio</v>
      </c>
      <c r="O42" s="41" t="str">
        <f>TEXT(G42,"AAAA")</f>
        <v>2023</v>
      </c>
    </row>
    <row r="43" spans="1:15" hidden="1">
      <c r="A43" s="41" t="s">
        <v>37</v>
      </c>
      <c r="B43" s="41">
        <v>33311122200</v>
      </c>
      <c r="C43" s="41">
        <v>1122334445</v>
      </c>
      <c r="D43" s="41" t="s">
        <v>38</v>
      </c>
      <c r="E43" s="41" t="s">
        <v>40</v>
      </c>
      <c r="F43" s="42">
        <v>45070</v>
      </c>
      <c r="G43" s="42">
        <v>45107</v>
      </c>
      <c r="H43" s="41"/>
      <c r="I43" s="41">
        <v>10</v>
      </c>
      <c r="J43" s="41">
        <v>2</v>
      </c>
      <c r="K43" s="43">
        <v>45.6</v>
      </c>
      <c r="L43" s="41" t="str">
        <f t="shared" ref="L43:L51" si="16">TEXT(F43,"MMMM")</f>
        <v>maio</v>
      </c>
      <c r="M43" s="41" t="str">
        <f t="shared" ref="M43:M51" si="17">TEXT(F43,"AAAA")</f>
        <v>2023</v>
      </c>
      <c r="N43" s="41" t="str">
        <f t="shared" ref="N43:N51" si="18">TEXT(G43,"MMMM")</f>
        <v>junho</v>
      </c>
      <c r="O43" s="41" t="str">
        <f t="shared" ref="O43:O51" si="19">TEXT(G43,"AAAA")</f>
        <v>2023</v>
      </c>
    </row>
    <row r="44" spans="1:15" hidden="1">
      <c r="A44" s="41" t="s">
        <v>37</v>
      </c>
      <c r="B44" s="41">
        <v>33311122200</v>
      </c>
      <c r="C44" s="41">
        <v>1122334445</v>
      </c>
      <c r="D44" s="41" t="s">
        <v>38</v>
      </c>
      <c r="E44" s="41" t="s">
        <v>40</v>
      </c>
      <c r="F44" s="42">
        <v>45070</v>
      </c>
      <c r="G44" s="42">
        <v>45137</v>
      </c>
      <c r="H44" s="41"/>
      <c r="I44" s="41">
        <v>10</v>
      </c>
      <c r="J44" s="41">
        <v>3</v>
      </c>
      <c r="K44" s="43">
        <v>45.6</v>
      </c>
      <c r="L44" s="41" t="str">
        <f t="shared" si="16"/>
        <v>maio</v>
      </c>
      <c r="M44" s="41" t="str">
        <f t="shared" si="17"/>
        <v>2023</v>
      </c>
      <c r="N44" s="41" t="str">
        <f t="shared" si="18"/>
        <v>julho</v>
      </c>
      <c r="O44" s="41" t="str">
        <f t="shared" si="19"/>
        <v>2023</v>
      </c>
    </row>
    <row r="45" spans="1:15" hidden="1">
      <c r="A45" s="41" t="s">
        <v>37</v>
      </c>
      <c r="B45" s="41">
        <v>33311122200</v>
      </c>
      <c r="C45" s="41">
        <v>1122334445</v>
      </c>
      <c r="D45" s="41" t="s">
        <v>38</v>
      </c>
      <c r="E45" s="41" t="s">
        <v>40</v>
      </c>
      <c r="F45" s="42">
        <v>45070</v>
      </c>
      <c r="G45" s="42">
        <v>45168</v>
      </c>
      <c r="H45" s="41"/>
      <c r="I45" s="41">
        <v>10</v>
      </c>
      <c r="J45" s="41">
        <v>4</v>
      </c>
      <c r="K45" s="43">
        <v>45.6</v>
      </c>
      <c r="L45" s="41" t="str">
        <f t="shared" si="16"/>
        <v>maio</v>
      </c>
      <c r="M45" s="41" t="str">
        <f t="shared" si="17"/>
        <v>2023</v>
      </c>
      <c r="N45" s="41" t="str">
        <f t="shared" si="18"/>
        <v>agosto</v>
      </c>
      <c r="O45" s="41" t="str">
        <f t="shared" si="19"/>
        <v>2023</v>
      </c>
    </row>
    <row r="46" spans="1:15" hidden="1">
      <c r="A46" s="41" t="s">
        <v>37</v>
      </c>
      <c r="B46" s="41">
        <v>33311122200</v>
      </c>
      <c r="C46" s="41">
        <v>1122334445</v>
      </c>
      <c r="D46" s="41" t="s">
        <v>38</v>
      </c>
      <c r="E46" s="41" t="s">
        <v>40</v>
      </c>
      <c r="F46" s="42">
        <v>45070</v>
      </c>
      <c r="G46" s="42">
        <v>45199</v>
      </c>
      <c r="H46" s="41"/>
      <c r="I46" s="41">
        <v>10</v>
      </c>
      <c r="J46" s="41">
        <v>5</v>
      </c>
      <c r="K46" s="43">
        <v>45.6</v>
      </c>
      <c r="L46" s="41" t="str">
        <f t="shared" si="16"/>
        <v>maio</v>
      </c>
      <c r="M46" s="41" t="str">
        <f t="shared" si="17"/>
        <v>2023</v>
      </c>
      <c r="N46" s="41" t="str">
        <f t="shared" si="18"/>
        <v>setembro</v>
      </c>
      <c r="O46" s="41" t="str">
        <f t="shared" si="19"/>
        <v>2023</v>
      </c>
    </row>
    <row r="47" spans="1:15" hidden="1">
      <c r="A47" s="41" t="s">
        <v>37</v>
      </c>
      <c r="B47" s="41">
        <v>33311122200</v>
      </c>
      <c r="C47" s="41">
        <v>1122334445</v>
      </c>
      <c r="D47" s="41" t="s">
        <v>38</v>
      </c>
      <c r="E47" s="41" t="s">
        <v>40</v>
      </c>
      <c r="F47" s="42">
        <v>45070</v>
      </c>
      <c r="G47" s="42">
        <v>45229</v>
      </c>
      <c r="H47" s="41"/>
      <c r="I47" s="41">
        <v>10</v>
      </c>
      <c r="J47" s="41">
        <v>6</v>
      </c>
      <c r="K47" s="43">
        <v>45.6</v>
      </c>
      <c r="L47" s="41" t="str">
        <f t="shared" si="16"/>
        <v>maio</v>
      </c>
      <c r="M47" s="41" t="str">
        <f t="shared" si="17"/>
        <v>2023</v>
      </c>
      <c r="N47" s="41" t="str">
        <f t="shared" si="18"/>
        <v>outubro</v>
      </c>
      <c r="O47" s="41" t="str">
        <f t="shared" si="19"/>
        <v>2023</v>
      </c>
    </row>
    <row r="48" spans="1:15" hidden="1">
      <c r="A48" s="41" t="s">
        <v>37</v>
      </c>
      <c r="B48" s="41">
        <v>33311122200</v>
      </c>
      <c r="C48" s="41">
        <v>1122334445</v>
      </c>
      <c r="D48" s="41" t="s">
        <v>38</v>
      </c>
      <c r="E48" s="41" t="s">
        <v>40</v>
      </c>
      <c r="F48" s="42">
        <v>45070</v>
      </c>
      <c r="G48" s="42">
        <v>45260</v>
      </c>
      <c r="H48" s="41"/>
      <c r="I48" s="41">
        <v>10</v>
      </c>
      <c r="J48" s="41">
        <v>7</v>
      </c>
      <c r="K48" s="43">
        <v>45.6</v>
      </c>
      <c r="L48" s="41" t="str">
        <f t="shared" si="16"/>
        <v>maio</v>
      </c>
      <c r="M48" s="41" t="str">
        <f t="shared" si="17"/>
        <v>2023</v>
      </c>
      <c r="N48" s="41" t="str">
        <f t="shared" si="18"/>
        <v>novembro</v>
      </c>
      <c r="O48" s="41" t="str">
        <f t="shared" si="19"/>
        <v>2023</v>
      </c>
    </row>
    <row r="49" spans="1:15" hidden="1">
      <c r="A49" s="41" t="s">
        <v>37</v>
      </c>
      <c r="B49" s="41">
        <v>33311122200</v>
      </c>
      <c r="C49" s="41">
        <v>1122334445</v>
      </c>
      <c r="D49" s="41" t="s">
        <v>38</v>
      </c>
      <c r="E49" s="41" t="s">
        <v>40</v>
      </c>
      <c r="F49" s="42">
        <v>45070</v>
      </c>
      <c r="G49" s="42">
        <v>45290</v>
      </c>
      <c r="H49" s="41"/>
      <c r="I49" s="41">
        <v>10</v>
      </c>
      <c r="J49" s="41">
        <v>8</v>
      </c>
      <c r="K49" s="43">
        <v>45.6</v>
      </c>
      <c r="L49" s="41" t="str">
        <f t="shared" si="16"/>
        <v>maio</v>
      </c>
      <c r="M49" s="41" t="str">
        <f t="shared" si="17"/>
        <v>2023</v>
      </c>
      <c r="N49" s="41" t="str">
        <f t="shared" si="18"/>
        <v>dezembro</v>
      </c>
      <c r="O49" s="41" t="str">
        <f t="shared" si="19"/>
        <v>2023</v>
      </c>
    </row>
    <row r="50" spans="1:15">
      <c r="A50" s="41" t="s">
        <v>37</v>
      </c>
      <c r="B50" s="41">
        <v>33311122200</v>
      </c>
      <c r="C50" s="41">
        <v>1122334445</v>
      </c>
      <c r="D50" s="41" t="s">
        <v>38</v>
      </c>
      <c r="E50" s="41" t="s">
        <v>40</v>
      </c>
      <c r="F50" s="42">
        <v>45070</v>
      </c>
      <c r="G50" s="42">
        <v>45321</v>
      </c>
      <c r="H50" s="41"/>
      <c r="I50" s="41">
        <v>10</v>
      </c>
      <c r="J50" s="41">
        <v>9</v>
      </c>
      <c r="K50" s="43">
        <v>45.6</v>
      </c>
      <c r="L50" s="41" t="str">
        <f t="shared" si="16"/>
        <v>maio</v>
      </c>
      <c r="M50" s="41" t="str">
        <f t="shared" si="17"/>
        <v>2023</v>
      </c>
      <c r="N50" s="41" t="str">
        <f t="shared" si="18"/>
        <v>janeiro</v>
      </c>
      <c r="O50" s="41" t="str">
        <f t="shared" si="19"/>
        <v>2024</v>
      </c>
    </row>
    <row r="51" spans="1:15">
      <c r="A51" s="41" t="s">
        <v>37</v>
      </c>
      <c r="B51" s="41">
        <v>33311122200</v>
      </c>
      <c r="C51" s="41">
        <v>1122334445</v>
      </c>
      <c r="D51" s="41" t="s">
        <v>38</v>
      </c>
      <c r="E51" s="41" t="s">
        <v>40</v>
      </c>
      <c r="F51" s="42">
        <v>45070</v>
      </c>
      <c r="G51" s="42">
        <v>45351</v>
      </c>
      <c r="H51" s="41"/>
      <c r="I51" s="41">
        <v>10</v>
      </c>
      <c r="J51" s="41">
        <v>10</v>
      </c>
      <c r="K51" s="43">
        <v>45.6</v>
      </c>
      <c r="L51" s="41" t="str">
        <f t="shared" si="16"/>
        <v>maio</v>
      </c>
      <c r="M51" s="41" t="str">
        <f t="shared" si="17"/>
        <v>2023</v>
      </c>
      <c r="N51" s="41" t="str">
        <f t="shared" si="18"/>
        <v>fevereiro</v>
      </c>
      <c r="O51" s="41" t="str">
        <f t="shared" si="19"/>
        <v>2024</v>
      </c>
    </row>
    <row r="52" spans="1:15" hidden="1">
      <c r="A52" s="41" t="s">
        <v>37</v>
      </c>
      <c r="B52" s="41">
        <v>33311122200</v>
      </c>
      <c r="C52" s="41">
        <v>1122334445</v>
      </c>
      <c r="D52" s="41" t="s">
        <v>38</v>
      </c>
      <c r="E52" s="41" t="s">
        <v>40</v>
      </c>
      <c r="F52" s="42">
        <v>45070</v>
      </c>
      <c r="G52" s="42">
        <v>45076</v>
      </c>
      <c r="H52" s="41">
        <v>4560</v>
      </c>
      <c r="I52" s="41">
        <v>10</v>
      </c>
      <c r="J52" s="41">
        <v>1</v>
      </c>
      <c r="K52" s="43">
        <v>45.6</v>
      </c>
      <c r="L52" s="41" t="str">
        <f>TEXT(F52,"MMMM")</f>
        <v>maio</v>
      </c>
      <c r="M52" s="41" t="str">
        <f>TEXT(F52,"AAAA")</f>
        <v>2023</v>
      </c>
      <c r="N52" s="41" t="str">
        <f>TEXT(G52,"MMMM")</f>
        <v>maio</v>
      </c>
      <c r="O52" s="41" t="str">
        <f>TEXT(G52,"AAAA")</f>
        <v>2023</v>
      </c>
    </row>
    <row r="53" spans="1:15" hidden="1">
      <c r="A53" s="41" t="s">
        <v>37</v>
      </c>
      <c r="B53" s="41">
        <v>33311122200</v>
      </c>
      <c r="C53" s="41">
        <v>1122334445</v>
      </c>
      <c r="D53" s="41" t="s">
        <v>38</v>
      </c>
      <c r="E53" s="41" t="s">
        <v>40</v>
      </c>
      <c r="F53" s="42">
        <v>45070</v>
      </c>
      <c r="G53" s="42">
        <v>45107</v>
      </c>
      <c r="H53" s="41"/>
      <c r="I53" s="41">
        <v>10</v>
      </c>
      <c r="J53" s="41">
        <v>2</v>
      </c>
      <c r="K53" s="43">
        <v>45.6</v>
      </c>
      <c r="L53" s="41" t="str">
        <f t="shared" ref="L53:L61" si="20">TEXT(F53,"MMMM")</f>
        <v>maio</v>
      </c>
      <c r="M53" s="41" t="str">
        <f t="shared" ref="M53:M61" si="21">TEXT(F53,"AAAA")</f>
        <v>2023</v>
      </c>
      <c r="N53" s="41" t="str">
        <f t="shared" ref="N53:N61" si="22">TEXT(G53,"MMMM")</f>
        <v>junho</v>
      </c>
      <c r="O53" s="41" t="str">
        <f t="shared" ref="O53:O61" si="23">TEXT(G53,"AAAA")</f>
        <v>2023</v>
      </c>
    </row>
    <row r="54" spans="1:15" hidden="1">
      <c r="A54" s="41" t="s">
        <v>37</v>
      </c>
      <c r="B54" s="41">
        <v>33311122200</v>
      </c>
      <c r="C54" s="41">
        <v>1122334445</v>
      </c>
      <c r="D54" s="41" t="s">
        <v>38</v>
      </c>
      <c r="E54" s="41" t="s">
        <v>40</v>
      </c>
      <c r="F54" s="42">
        <v>45070</v>
      </c>
      <c r="G54" s="42">
        <v>45137</v>
      </c>
      <c r="H54" s="41"/>
      <c r="I54" s="41">
        <v>10</v>
      </c>
      <c r="J54" s="41">
        <v>3</v>
      </c>
      <c r="K54" s="43">
        <v>45.6</v>
      </c>
      <c r="L54" s="41" t="str">
        <f t="shared" si="20"/>
        <v>maio</v>
      </c>
      <c r="M54" s="41" t="str">
        <f t="shared" si="21"/>
        <v>2023</v>
      </c>
      <c r="N54" s="41" t="str">
        <f t="shared" si="22"/>
        <v>julho</v>
      </c>
      <c r="O54" s="41" t="str">
        <f t="shared" si="23"/>
        <v>2023</v>
      </c>
    </row>
    <row r="55" spans="1:15" hidden="1">
      <c r="A55" s="41" t="s">
        <v>37</v>
      </c>
      <c r="B55" s="41">
        <v>33311122200</v>
      </c>
      <c r="C55" s="41">
        <v>1122334445</v>
      </c>
      <c r="D55" s="41" t="s">
        <v>38</v>
      </c>
      <c r="E55" s="41" t="s">
        <v>40</v>
      </c>
      <c r="F55" s="42">
        <v>45070</v>
      </c>
      <c r="G55" s="42">
        <v>45168</v>
      </c>
      <c r="H55" s="41"/>
      <c r="I55" s="41">
        <v>10</v>
      </c>
      <c r="J55" s="41">
        <v>4</v>
      </c>
      <c r="K55" s="43">
        <v>45.6</v>
      </c>
      <c r="L55" s="41" t="str">
        <f t="shared" si="20"/>
        <v>maio</v>
      </c>
      <c r="M55" s="41" t="str">
        <f t="shared" si="21"/>
        <v>2023</v>
      </c>
      <c r="N55" s="41" t="str">
        <f t="shared" si="22"/>
        <v>agosto</v>
      </c>
      <c r="O55" s="41" t="str">
        <f t="shared" si="23"/>
        <v>2023</v>
      </c>
    </row>
    <row r="56" spans="1:15" hidden="1">
      <c r="A56" s="41" t="s">
        <v>37</v>
      </c>
      <c r="B56" s="41">
        <v>33311122200</v>
      </c>
      <c r="C56" s="41">
        <v>1122334445</v>
      </c>
      <c r="D56" s="41" t="s">
        <v>38</v>
      </c>
      <c r="E56" s="41" t="s">
        <v>40</v>
      </c>
      <c r="F56" s="42">
        <v>45070</v>
      </c>
      <c r="G56" s="42">
        <v>45199</v>
      </c>
      <c r="H56" s="41"/>
      <c r="I56" s="41">
        <v>10</v>
      </c>
      <c r="J56" s="41">
        <v>5</v>
      </c>
      <c r="K56" s="43">
        <v>45.6</v>
      </c>
      <c r="L56" s="41" t="str">
        <f t="shared" si="20"/>
        <v>maio</v>
      </c>
      <c r="M56" s="41" t="str">
        <f t="shared" si="21"/>
        <v>2023</v>
      </c>
      <c r="N56" s="41" t="str">
        <f t="shared" si="22"/>
        <v>setembro</v>
      </c>
      <c r="O56" s="41" t="str">
        <f t="shared" si="23"/>
        <v>2023</v>
      </c>
    </row>
    <row r="57" spans="1:15" hidden="1">
      <c r="A57" s="41" t="s">
        <v>37</v>
      </c>
      <c r="B57" s="41">
        <v>33311122200</v>
      </c>
      <c r="C57" s="41">
        <v>1122334445</v>
      </c>
      <c r="D57" s="41" t="s">
        <v>38</v>
      </c>
      <c r="E57" s="41" t="s">
        <v>40</v>
      </c>
      <c r="F57" s="42">
        <v>45070</v>
      </c>
      <c r="G57" s="42">
        <v>45229</v>
      </c>
      <c r="H57" s="41"/>
      <c r="I57" s="41">
        <v>10</v>
      </c>
      <c r="J57" s="41">
        <v>6</v>
      </c>
      <c r="K57" s="43">
        <v>45.6</v>
      </c>
      <c r="L57" s="41" t="str">
        <f t="shared" si="20"/>
        <v>maio</v>
      </c>
      <c r="M57" s="41" t="str">
        <f t="shared" si="21"/>
        <v>2023</v>
      </c>
      <c r="N57" s="41" t="str">
        <f t="shared" si="22"/>
        <v>outubro</v>
      </c>
      <c r="O57" s="41" t="str">
        <f t="shared" si="23"/>
        <v>2023</v>
      </c>
    </row>
    <row r="58" spans="1:15" hidden="1">
      <c r="A58" s="41" t="s">
        <v>37</v>
      </c>
      <c r="B58" s="41">
        <v>33311122200</v>
      </c>
      <c r="C58" s="41">
        <v>1122334445</v>
      </c>
      <c r="D58" s="41" t="s">
        <v>38</v>
      </c>
      <c r="E58" s="41" t="s">
        <v>40</v>
      </c>
      <c r="F58" s="42">
        <v>45070</v>
      </c>
      <c r="G58" s="42">
        <v>45260</v>
      </c>
      <c r="H58" s="41"/>
      <c r="I58" s="41">
        <v>10</v>
      </c>
      <c r="J58" s="41">
        <v>7</v>
      </c>
      <c r="K58" s="43">
        <v>45.6</v>
      </c>
      <c r="L58" s="41" t="str">
        <f t="shared" si="20"/>
        <v>maio</v>
      </c>
      <c r="M58" s="41" t="str">
        <f t="shared" si="21"/>
        <v>2023</v>
      </c>
      <c r="N58" s="41" t="str">
        <f t="shared" si="22"/>
        <v>novembro</v>
      </c>
      <c r="O58" s="41" t="str">
        <f t="shared" si="23"/>
        <v>2023</v>
      </c>
    </row>
    <row r="59" spans="1:15" hidden="1">
      <c r="A59" s="41" t="s">
        <v>37</v>
      </c>
      <c r="B59" s="41">
        <v>33311122200</v>
      </c>
      <c r="C59" s="41">
        <v>1122334445</v>
      </c>
      <c r="D59" s="41" t="s">
        <v>38</v>
      </c>
      <c r="E59" s="41" t="s">
        <v>40</v>
      </c>
      <c r="F59" s="42">
        <v>45070</v>
      </c>
      <c r="G59" s="42">
        <v>45290</v>
      </c>
      <c r="H59" s="41"/>
      <c r="I59" s="41">
        <v>10</v>
      </c>
      <c r="J59" s="41">
        <v>8</v>
      </c>
      <c r="K59" s="43">
        <v>45.6</v>
      </c>
      <c r="L59" s="41" t="str">
        <f t="shared" si="20"/>
        <v>maio</v>
      </c>
      <c r="M59" s="41" t="str">
        <f t="shared" si="21"/>
        <v>2023</v>
      </c>
      <c r="N59" s="41" t="str">
        <f t="shared" si="22"/>
        <v>dezembro</v>
      </c>
      <c r="O59" s="41" t="str">
        <f t="shared" si="23"/>
        <v>2023</v>
      </c>
    </row>
    <row r="60" spans="1:15">
      <c r="A60" s="41" t="s">
        <v>37</v>
      </c>
      <c r="B60" s="41">
        <v>33311122200</v>
      </c>
      <c r="C60" s="41">
        <v>1122334445</v>
      </c>
      <c r="D60" s="41" t="s">
        <v>38</v>
      </c>
      <c r="E60" s="41" t="s">
        <v>40</v>
      </c>
      <c r="F60" s="42">
        <v>45070</v>
      </c>
      <c r="G60" s="42">
        <v>45321</v>
      </c>
      <c r="H60" s="41"/>
      <c r="I60" s="41">
        <v>10</v>
      </c>
      <c r="J60" s="41">
        <v>9</v>
      </c>
      <c r="K60" s="43">
        <v>45.6</v>
      </c>
      <c r="L60" s="41" t="str">
        <f t="shared" si="20"/>
        <v>maio</v>
      </c>
      <c r="M60" s="41" t="str">
        <f t="shared" si="21"/>
        <v>2023</v>
      </c>
      <c r="N60" s="41" t="str">
        <f t="shared" si="22"/>
        <v>janeiro</v>
      </c>
      <c r="O60" s="41" t="str">
        <f t="shared" si="23"/>
        <v>2024</v>
      </c>
    </row>
    <row r="61" spans="1:15">
      <c r="A61" s="41" t="s">
        <v>37</v>
      </c>
      <c r="B61" s="41">
        <v>33311122200</v>
      </c>
      <c r="C61" s="41">
        <v>1122334445</v>
      </c>
      <c r="D61" s="41" t="s">
        <v>38</v>
      </c>
      <c r="E61" s="41" t="s">
        <v>40</v>
      </c>
      <c r="F61" s="42">
        <v>45070</v>
      </c>
      <c r="G61" s="42">
        <v>45351</v>
      </c>
      <c r="H61" s="41"/>
      <c r="I61" s="41">
        <v>10</v>
      </c>
      <c r="J61" s="41">
        <v>10</v>
      </c>
      <c r="K61" s="43">
        <v>45.6</v>
      </c>
      <c r="L61" s="41" t="str">
        <f t="shared" si="20"/>
        <v>maio</v>
      </c>
      <c r="M61" s="41" t="str">
        <f t="shared" si="21"/>
        <v>2023</v>
      </c>
      <c r="N61" s="41" t="str">
        <f t="shared" si="22"/>
        <v>fevereiro</v>
      </c>
      <c r="O61" s="41" t="str">
        <f t="shared" si="23"/>
        <v>2024</v>
      </c>
    </row>
    <row r="62" spans="1:15" hidden="1">
      <c r="A62" s="41" t="s">
        <v>37</v>
      </c>
      <c r="B62" s="41">
        <v>33311122200</v>
      </c>
      <c r="C62" s="41">
        <v>1122334445</v>
      </c>
      <c r="D62" s="41" t="s">
        <v>38</v>
      </c>
      <c r="E62" s="41" t="s">
        <v>40</v>
      </c>
      <c r="F62" s="42">
        <v>45070</v>
      </c>
      <c r="G62" s="42">
        <v>45076</v>
      </c>
      <c r="H62" s="41">
        <v>150</v>
      </c>
      <c r="I62" s="41">
        <v>10</v>
      </c>
      <c r="J62" s="41">
        <v>1</v>
      </c>
      <c r="K62" s="43">
        <v>15</v>
      </c>
      <c r="L62" s="41" t="str">
        <f>TEXT(F62,"MMMM")</f>
        <v>maio</v>
      </c>
      <c r="M62" s="41" t="str">
        <f>TEXT(F62,"AAAA")</f>
        <v>2023</v>
      </c>
      <c r="N62" s="41" t="str">
        <f>TEXT(G62,"MMMM")</f>
        <v>maio</v>
      </c>
      <c r="O62" s="41" t="str">
        <f>TEXT(G62,"AAAA")</f>
        <v>2023</v>
      </c>
    </row>
    <row r="63" spans="1:15" hidden="1">
      <c r="A63" s="41" t="s">
        <v>37</v>
      </c>
      <c r="B63" s="41">
        <v>33311122200</v>
      </c>
      <c r="C63" s="41">
        <v>1122334445</v>
      </c>
      <c r="D63" s="41" t="s">
        <v>38</v>
      </c>
      <c r="E63" s="41" t="s">
        <v>40</v>
      </c>
      <c r="F63" s="42">
        <v>45070</v>
      </c>
      <c r="G63" s="42">
        <v>45107</v>
      </c>
      <c r="H63" s="41"/>
      <c r="I63" s="41">
        <v>10</v>
      </c>
      <c r="J63" s="41">
        <v>2</v>
      </c>
      <c r="K63" s="43">
        <v>15</v>
      </c>
      <c r="L63" s="41" t="str">
        <f t="shared" ref="L63:L71" si="24">TEXT(F63,"MMMM")</f>
        <v>maio</v>
      </c>
      <c r="M63" s="41" t="str">
        <f t="shared" ref="M63:M71" si="25">TEXT(F63,"AAAA")</f>
        <v>2023</v>
      </c>
      <c r="N63" s="41" t="str">
        <f t="shared" ref="N63:N71" si="26">TEXT(G63,"MMMM")</f>
        <v>junho</v>
      </c>
      <c r="O63" s="41" t="str">
        <f t="shared" ref="O63:O71" si="27">TEXT(G63,"AAAA")</f>
        <v>2023</v>
      </c>
    </row>
    <row r="64" spans="1:15" hidden="1">
      <c r="A64" s="41" t="s">
        <v>37</v>
      </c>
      <c r="B64" s="41">
        <v>33311122200</v>
      </c>
      <c r="C64" s="41">
        <v>1122334445</v>
      </c>
      <c r="D64" s="41" t="s">
        <v>38</v>
      </c>
      <c r="E64" s="41" t="s">
        <v>40</v>
      </c>
      <c r="F64" s="42">
        <v>45070</v>
      </c>
      <c r="G64" s="42">
        <v>45137</v>
      </c>
      <c r="H64" s="41"/>
      <c r="I64" s="41">
        <v>10</v>
      </c>
      <c r="J64" s="41">
        <v>3</v>
      </c>
      <c r="K64" s="43">
        <v>15</v>
      </c>
      <c r="L64" s="41" t="str">
        <f t="shared" si="24"/>
        <v>maio</v>
      </c>
      <c r="M64" s="41" t="str">
        <f t="shared" si="25"/>
        <v>2023</v>
      </c>
      <c r="N64" s="41" t="str">
        <f t="shared" si="26"/>
        <v>julho</v>
      </c>
      <c r="O64" s="41" t="str">
        <f t="shared" si="27"/>
        <v>2023</v>
      </c>
    </row>
    <row r="65" spans="1:15" hidden="1">
      <c r="A65" s="41" t="s">
        <v>37</v>
      </c>
      <c r="B65" s="41">
        <v>33311122200</v>
      </c>
      <c r="C65" s="41">
        <v>1122334445</v>
      </c>
      <c r="D65" s="41" t="s">
        <v>38</v>
      </c>
      <c r="E65" s="41" t="s">
        <v>40</v>
      </c>
      <c r="F65" s="42">
        <v>45070</v>
      </c>
      <c r="G65" s="42">
        <v>45168</v>
      </c>
      <c r="H65" s="41"/>
      <c r="I65" s="41">
        <v>10</v>
      </c>
      <c r="J65" s="41">
        <v>4</v>
      </c>
      <c r="K65" s="43">
        <v>15</v>
      </c>
      <c r="L65" s="41" t="str">
        <f t="shared" si="24"/>
        <v>maio</v>
      </c>
      <c r="M65" s="41" t="str">
        <f t="shared" si="25"/>
        <v>2023</v>
      </c>
      <c r="N65" s="41" t="str">
        <f t="shared" si="26"/>
        <v>agosto</v>
      </c>
      <c r="O65" s="41" t="str">
        <f t="shared" si="27"/>
        <v>2023</v>
      </c>
    </row>
    <row r="66" spans="1:15" hidden="1">
      <c r="A66" s="41" t="s">
        <v>37</v>
      </c>
      <c r="B66" s="41">
        <v>33311122200</v>
      </c>
      <c r="C66" s="41">
        <v>1122334445</v>
      </c>
      <c r="D66" s="41" t="s">
        <v>38</v>
      </c>
      <c r="E66" s="41" t="s">
        <v>40</v>
      </c>
      <c r="F66" s="42">
        <v>45070</v>
      </c>
      <c r="G66" s="42">
        <v>45199</v>
      </c>
      <c r="H66" s="41"/>
      <c r="I66" s="41">
        <v>10</v>
      </c>
      <c r="J66" s="41">
        <v>5</v>
      </c>
      <c r="K66" s="43">
        <v>15</v>
      </c>
      <c r="L66" s="41" t="str">
        <f t="shared" si="24"/>
        <v>maio</v>
      </c>
      <c r="M66" s="41" t="str">
        <f t="shared" si="25"/>
        <v>2023</v>
      </c>
      <c r="N66" s="41" t="str">
        <f t="shared" si="26"/>
        <v>setembro</v>
      </c>
      <c r="O66" s="41" t="str">
        <f t="shared" si="27"/>
        <v>2023</v>
      </c>
    </row>
    <row r="67" spans="1:15" hidden="1">
      <c r="A67" s="41" t="s">
        <v>37</v>
      </c>
      <c r="B67" s="41">
        <v>33311122200</v>
      </c>
      <c r="C67" s="41">
        <v>1122334445</v>
      </c>
      <c r="D67" s="41" t="s">
        <v>38</v>
      </c>
      <c r="E67" s="41" t="s">
        <v>40</v>
      </c>
      <c r="F67" s="42">
        <v>45070</v>
      </c>
      <c r="G67" s="42">
        <v>45229</v>
      </c>
      <c r="H67" s="41"/>
      <c r="I67" s="41">
        <v>10</v>
      </c>
      <c r="J67" s="41">
        <v>6</v>
      </c>
      <c r="K67" s="43">
        <v>15</v>
      </c>
      <c r="L67" s="41" t="str">
        <f t="shared" si="24"/>
        <v>maio</v>
      </c>
      <c r="M67" s="41" t="str">
        <f t="shared" si="25"/>
        <v>2023</v>
      </c>
      <c r="N67" s="41" t="str">
        <f t="shared" si="26"/>
        <v>outubro</v>
      </c>
      <c r="O67" s="41" t="str">
        <f t="shared" si="27"/>
        <v>2023</v>
      </c>
    </row>
    <row r="68" spans="1:15" hidden="1">
      <c r="A68" s="41" t="s">
        <v>37</v>
      </c>
      <c r="B68" s="41">
        <v>33311122200</v>
      </c>
      <c r="C68" s="41">
        <v>1122334445</v>
      </c>
      <c r="D68" s="41" t="s">
        <v>38</v>
      </c>
      <c r="E68" s="41" t="s">
        <v>40</v>
      </c>
      <c r="F68" s="42">
        <v>45070</v>
      </c>
      <c r="G68" s="42">
        <v>45260</v>
      </c>
      <c r="H68" s="41"/>
      <c r="I68" s="41">
        <v>10</v>
      </c>
      <c r="J68" s="41">
        <v>7</v>
      </c>
      <c r="K68" s="43">
        <v>15</v>
      </c>
      <c r="L68" s="41" t="str">
        <f t="shared" si="24"/>
        <v>maio</v>
      </c>
      <c r="M68" s="41" t="str">
        <f t="shared" si="25"/>
        <v>2023</v>
      </c>
      <c r="N68" s="41" t="str">
        <f t="shared" si="26"/>
        <v>novembro</v>
      </c>
      <c r="O68" s="41" t="str">
        <f t="shared" si="27"/>
        <v>2023</v>
      </c>
    </row>
    <row r="69" spans="1:15" hidden="1">
      <c r="A69" s="41" t="s">
        <v>37</v>
      </c>
      <c r="B69" s="41">
        <v>33311122200</v>
      </c>
      <c r="C69" s="41">
        <v>1122334445</v>
      </c>
      <c r="D69" s="41" t="s">
        <v>38</v>
      </c>
      <c r="E69" s="41" t="s">
        <v>40</v>
      </c>
      <c r="F69" s="42">
        <v>45070</v>
      </c>
      <c r="G69" s="42">
        <v>45290</v>
      </c>
      <c r="H69" s="41"/>
      <c r="I69" s="41">
        <v>10</v>
      </c>
      <c r="J69" s="41">
        <v>8</v>
      </c>
      <c r="K69" s="43">
        <v>15</v>
      </c>
      <c r="L69" s="41" t="str">
        <f t="shared" si="24"/>
        <v>maio</v>
      </c>
      <c r="M69" s="41" t="str">
        <f t="shared" si="25"/>
        <v>2023</v>
      </c>
      <c r="N69" s="41" t="str">
        <f t="shared" si="26"/>
        <v>dezembro</v>
      </c>
      <c r="O69" s="41" t="str">
        <f t="shared" si="27"/>
        <v>2023</v>
      </c>
    </row>
    <row r="70" spans="1:15">
      <c r="A70" s="41" t="s">
        <v>37</v>
      </c>
      <c r="B70" s="41">
        <v>33311122200</v>
      </c>
      <c r="C70" s="41">
        <v>1122334445</v>
      </c>
      <c r="D70" s="41" t="s">
        <v>38</v>
      </c>
      <c r="E70" s="41" t="s">
        <v>40</v>
      </c>
      <c r="F70" s="42">
        <v>45070</v>
      </c>
      <c r="G70" s="42">
        <v>45321</v>
      </c>
      <c r="H70" s="41"/>
      <c r="I70" s="41">
        <v>10</v>
      </c>
      <c r="J70" s="41">
        <v>9</v>
      </c>
      <c r="K70" s="43">
        <v>15</v>
      </c>
      <c r="L70" s="41" t="str">
        <f t="shared" si="24"/>
        <v>maio</v>
      </c>
      <c r="M70" s="41" t="str">
        <f t="shared" si="25"/>
        <v>2023</v>
      </c>
      <c r="N70" s="41" t="str">
        <f t="shared" si="26"/>
        <v>janeiro</v>
      </c>
      <c r="O70" s="41" t="str">
        <f t="shared" si="27"/>
        <v>2024</v>
      </c>
    </row>
    <row r="71" spans="1:15">
      <c r="A71" s="41" t="s">
        <v>37</v>
      </c>
      <c r="B71" s="41">
        <v>33311122200</v>
      </c>
      <c r="C71" s="41">
        <v>1122334445</v>
      </c>
      <c r="D71" s="41" t="s">
        <v>38</v>
      </c>
      <c r="E71" s="41" t="s">
        <v>40</v>
      </c>
      <c r="F71" s="42">
        <v>45070</v>
      </c>
      <c r="G71" s="42">
        <v>45351</v>
      </c>
      <c r="H71" s="41"/>
      <c r="I71" s="41">
        <v>10</v>
      </c>
      <c r="J71" s="41">
        <v>10</v>
      </c>
      <c r="K71" s="43">
        <v>15</v>
      </c>
      <c r="L71" s="41" t="str">
        <f t="shared" si="24"/>
        <v>maio</v>
      </c>
      <c r="M71" s="41" t="str">
        <f t="shared" si="25"/>
        <v>2023</v>
      </c>
      <c r="N71" s="41" t="str">
        <f t="shared" si="26"/>
        <v>fevereiro</v>
      </c>
      <c r="O71" s="41" t="str">
        <f t="shared" si="27"/>
        <v>2024</v>
      </c>
    </row>
    <row r="72" spans="1:15" hidden="1">
      <c r="A72" s="41" t="s">
        <v>37</v>
      </c>
      <c r="B72" s="41">
        <v>33311122200</v>
      </c>
      <c r="C72" s="41">
        <v>1122334445</v>
      </c>
      <c r="D72" s="41" t="s">
        <v>38</v>
      </c>
      <c r="E72" s="41" t="s">
        <v>29</v>
      </c>
      <c r="F72" s="42">
        <v>44978</v>
      </c>
      <c r="G72" s="42">
        <v>44982</v>
      </c>
      <c r="H72" s="41">
        <v>542</v>
      </c>
      <c r="I72" s="41">
        <v>10</v>
      </c>
      <c r="J72" s="41">
        <v>1</v>
      </c>
      <c r="K72" s="43">
        <v>54.2</v>
      </c>
      <c r="L72" s="41" t="str">
        <f>TEXT(F72,"MMMM")</f>
        <v>fevereiro</v>
      </c>
      <c r="M72" s="41" t="str">
        <f>TEXT(F72,"AAAA")</f>
        <v>2023</v>
      </c>
      <c r="N72" s="41" t="str">
        <f>TEXT(G72,"MMMM")</f>
        <v>fevereiro</v>
      </c>
      <c r="O72" s="41" t="str">
        <f>TEXT(G72,"AAAA")</f>
        <v>2023</v>
      </c>
    </row>
    <row r="73" spans="1:15" hidden="1">
      <c r="A73" s="41" t="s">
        <v>37</v>
      </c>
      <c r="B73" s="41">
        <v>33311122200</v>
      </c>
      <c r="C73" s="41">
        <v>1122334445</v>
      </c>
      <c r="D73" s="41" t="s">
        <v>38</v>
      </c>
      <c r="E73" s="41" t="s">
        <v>29</v>
      </c>
      <c r="F73" s="42">
        <v>44978</v>
      </c>
      <c r="G73" s="42">
        <v>45010</v>
      </c>
      <c r="H73" s="41"/>
      <c r="I73" s="41">
        <v>10</v>
      </c>
      <c r="J73" s="41">
        <v>2</v>
      </c>
      <c r="K73" s="43">
        <v>54.2</v>
      </c>
      <c r="L73" s="41" t="str">
        <f t="shared" ref="L73:L81" si="28">TEXT(F73,"MMMM")</f>
        <v>fevereiro</v>
      </c>
      <c r="M73" s="41" t="str">
        <f t="shared" ref="M73:M81" si="29">TEXT(F73,"AAAA")</f>
        <v>2023</v>
      </c>
      <c r="N73" s="41" t="str">
        <f t="shared" ref="N73:N81" si="30">TEXT(G73,"MMMM")</f>
        <v>março</v>
      </c>
      <c r="O73" s="41" t="str">
        <f t="shared" ref="O73:O81" si="31">TEXT(G73,"AAAA")</f>
        <v>2023</v>
      </c>
    </row>
    <row r="74" spans="1:15" hidden="1">
      <c r="A74" s="41" t="s">
        <v>37</v>
      </c>
      <c r="B74" s="41">
        <v>33311122200</v>
      </c>
      <c r="C74" s="41">
        <v>1122334445</v>
      </c>
      <c r="D74" s="41" t="s">
        <v>38</v>
      </c>
      <c r="E74" s="41" t="s">
        <v>29</v>
      </c>
      <c r="F74" s="42">
        <v>44978</v>
      </c>
      <c r="G74" s="42">
        <v>45041</v>
      </c>
      <c r="H74" s="41"/>
      <c r="I74" s="41">
        <v>10</v>
      </c>
      <c r="J74" s="41">
        <v>3</v>
      </c>
      <c r="K74" s="43">
        <v>54.2</v>
      </c>
      <c r="L74" s="41" t="str">
        <f t="shared" si="28"/>
        <v>fevereiro</v>
      </c>
      <c r="M74" s="41" t="str">
        <f t="shared" si="29"/>
        <v>2023</v>
      </c>
      <c r="N74" s="41" t="str">
        <f t="shared" si="30"/>
        <v>abril</v>
      </c>
      <c r="O74" s="41" t="str">
        <f t="shared" si="31"/>
        <v>2023</v>
      </c>
    </row>
    <row r="75" spans="1:15" hidden="1">
      <c r="A75" s="41" t="s">
        <v>37</v>
      </c>
      <c r="B75" s="41">
        <v>33311122200</v>
      </c>
      <c r="C75" s="41">
        <v>1122334445</v>
      </c>
      <c r="D75" s="41" t="s">
        <v>38</v>
      </c>
      <c r="E75" s="41" t="s">
        <v>29</v>
      </c>
      <c r="F75" s="42">
        <v>44978</v>
      </c>
      <c r="G75" s="42">
        <v>45071</v>
      </c>
      <c r="H75" s="41"/>
      <c r="I75" s="41">
        <v>10</v>
      </c>
      <c r="J75" s="41">
        <v>4</v>
      </c>
      <c r="K75" s="43">
        <v>54.2</v>
      </c>
      <c r="L75" s="41" t="str">
        <f t="shared" si="28"/>
        <v>fevereiro</v>
      </c>
      <c r="M75" s="41" t="str">
        <f t="shared" si="29"/>
        <v>2023</v>
      </c>
      <c r="N75" s="41" t="str">
        <f t="shared" si="30"/>
        <v>maio</v>
      </c>
      <c r="O75" s="41" t="str">
        <f t="shared" si="31"/>
        <v>2023</v>
      </c>
    </row>
    <row r="76" spans="1:15" hidden="1">
      <c r="A76" s="41" t="s">
        <v>37</v>
      </c>
      <c r="B76" s="41">
        <v>33311122200</v>
      </c>
      <c r="C76" s="41">
        <v>1122334445</v>
      </c>
      <c r="D76" s="41" t="s">
        <v>38</v>
      </c>
      <c r="E76" s="41" t="s">
        <v>29</v>
      </c>
      <c r="F76" s="42">
        <v>44978</v>
      </c>
      <c r="G76" s="42">
        <v>45102</v>
      </c>
      <c r="H76" s="41"/>
      <c r="I76" s="41">
        <v>10</v>
      </c>
      <c r="J76" s="41">
        <v>5</v>
      </c>
      <c r="K76" s="43">
        <v>54.2</v>
      </c>
      <c r="L76" s="41" t="str">
        <f t="shared" si="28"/>
        <v>fevereiro</v>
      </c>
      <c r="M76" s="41" t="str">
        <f t="shared" si="29"/>
        <v>2023</v>
      </c>
      <c r="N76" s="41" t="str">
        <f t="shared" si="30"/>
        <v>junho</v>
      </c>
      <c r="O76" s="41" t="str">
        <f t="shared" si="31"/>
        <v>2023</v>
      </c>
    </row>
    <row r="77" spans="1:15" hidden="1">
      <c r="A77" s="41" t="s">
        <v>37</v>
      </c>
      <c r="B77" s="41">
        <v>33311122200</v>
      </c>
      <c r="C77" s="41">
        <v>1122334445</v>
      </c>
      <c r="D77" s="41" t="s">
        <v>38</v>
      </c>
      <c r="E77" s="41" t="s">
        <v>29</v>
      </c>
      <c r="F77" s="42">
        <v>44978</v>
      </c>
      <c r="G77" s="42">
        <v>45132</v>
      </c>
      <c r="H77" s="41"/>
      <c r="I77" s="41">
        <v>10</v>
      </c>
      <c r="J77" s="41">
        <v>6</v>
      </c>
      <c r="K77" s="43">
        <v>54.2</v>
      </c>
      <c r="L77" s="41" t="str">
        <f t="shared" si="28"/>
        <v>fevereiro</v>
      </c>
      <c r="M77" s="41" t="str">
        <f t="shared" si="29"/>
        <v>2023</v>
      </c>
      <c r="N77" s="41" t="str">
        <f t="shared" si="30"/>
        <v>julho</v>
      </c>
      <c r="O77" s="41" t="str">
        <f t="shared" si="31"/>
        <v>2023</v>
      </c>
    </row>
    <row r="78" spans="1:15" hidden="1">
      <c r="A78" s="41" t="s">
        <v>37</v>
      </c>
      <c r="B78" s="41">
        <v>33311122200</v>
      </c>
      <c r="C78" s="41">
        <v>1122334445</v>
      </c>
      <c r="D78" s="41" t="s">
        <v>38</v>
      </c>
      <c r="E78" s="41" t="s">
        <v>29</v>
      </c>
      <c r="F78" s="42">
        <v>44978</v>
      </c>
      <c r="G78" s="42">
        <v>45163</v>
      </c>
      <c r="H78" s="41"/>
      <c r="I78" s="41">
        <v>10</v>
      </c>
      <c r="J78" s="41">
        <v>7</v>
      </c>
      <c r="K78" s="43">
        <v>54.2</v>
      </c>
      <c r="L78" s="41" t="str">
        <f t="shared" si="28"/>
        <v>fevereiro</v>
      </c>
      <c r="M78" s="41" t="str">
        <f t="shared" si="29"/>
        <v>2023</v>
      </c>
      <c r="N78" s="41" t="str">
        <f t="shared" si="30"/>
        <v>agosto</v>
      </c>
      <c r="O78" s="41" t="str">
        <f t="shared" si="31"/>
        <v>2023</v>
      </c>
    </row>
    <row r="79" spans="1:15" hidden="1">
      <c r="A79" s="41" t="s">
        <v>37</v>
      </c>
      <c r="B79" s="41">
        <v>33311122200</v>
      </c>
      <c r="C79" s="41">
        <v>1122334445</v>
      </c>
      <c r="D79" s="41" t="s">
        <v>38</v>
      </c>
      <c r="E79" s="41" t="s">
        <v>29</v>
      </c>
      <c r="F79" s="42">
        <v>44978</v>
      </c>
      <c r="G79" s="42">
        <v>45194</v>
      </c>
      <c r="H79" s="41"/>
      <c r="I79" s="41">
        <v>10</v>
      </c>
      <c r="J79" s="41">
        <v>8</v>
      </c>
      <c r="K79" s="43">
        <v>54.2</v>
      </c>
      <c r="L79" s="41" t="str">
        <f t="shared" si="28"/>
        <v>fevereiro</v>
      </c>
      <c r="M79" s="41" t="str">
        <f t="shared" si="29"/>
        <v>2023</v>
      </c>
      <c r="N79" s="41" t="str">
        <f t="shared" si="30"/>
        <v>setembro</v>
      </c>
      <c r="O79" s="41" t="str">
        <f t="shared" si="31"/>
        <v>2023</v>
      </c>
    </row>
    <row r="80" spans="1:15" hidden="1">
      <c r="A80" s="41" t="s">
        <v>37</v>
      </c>
      <c r="B80" s="41">
        <v>33311122200</v>
      </c>
      <c r="C80" s="41">
        <v>1122334445</v>
      </c>
      <c r="D80" s="41" t="s">
        <v>38</v>
      </c>
      <c r="E80" s="41" t="s">
        <v>29</v>
      </c>
      <c r="F80" s="42">
        <v>44978</v>
      </c>
      <c r="G80" s="42">
        <v>45224</v>
      </c>
      <c r="H80" s="41"/>
      <c r="I80" s="41">
        <v>10</v>
      </c>
      <c r="J80" s="41">
        <v>9</v>
      </c>
      <c r="K80" s="43">
        <v>54.2</v>
      </c>
      <c r="L80" s="41" t="str">
        <f t="shared" si="28"/>
        <v>fevereiro</v>
      </c>
      <c r="M80" s="41" t="str">
        <f t="shared" si="29"/>
        <v>2023</v>
      </c>
      <c r="N80" s="41" t="str">
        <f t="shared" si="30"/>
        <v>outubro</v>
      </c>
      <c r="O80" s="41" t="str">
        <f t="shared" si="31"/>
        <v>2023</v>
      </c>
    </row>
    <row r="81" spans="1:15" hidden="1">
      <c r="A81" s="41" t="s">
        <v>37</v>
      </c>
      <c r="B81" s="41">
        <v>33311122200</v>
      </c>
      <c r="C81" s="41">
        <v>1122334445</v>
      </c>
      <c r="D81" s="41" t="s">
        <v>38</v>
      </c>
      <c r="E81" s="41" t="s">
        <v>29</v>
      </c>
      <c r="F81" s="42">
        <v>44978</v>
      </c>
      <c r="G81" s="42">
        <v>45255</v>
      </c>
      <c r="H81" s="41"/>
      <c r="I81" s="41">
        <v>10</v>
      </c>
      <c r="J81" s="41">
        <v>10</v>
      </c>
      <c r="K81" s="43">
        <v>54.2</v>
      </c>
      <c r="L81" s="41" t="str">
        <f t="shared" si="28"/>
        <v>fevereiro</v>
      </c>
      <c r="M81" s="41" t="str">
        <f t="shared" si="29"/>
        <v>2023</v>
      </c>
      <c r="N81" s="41" t="str">
        <f t="shared" si="30"/>
        <v>novembro</v>
      </c>
      <c r="O81" s="41" t="str">
        <f t="shared" si="31"/>
        <v>2023</v>
      </c>
    </row>
    <row r="82" spans="1:15" hidden="1">
      <c r="A82" t="s">
        <v>18</v>
      </c>
      <c r="B82">
        <v>1010101010</v>
      </c>
      <c r="C82">
        <v>1111111</v>
      </c>
      <c r="D82" s="9" t="s">
        <v>15</v>
      </c>
      <c r="E82" t="s">
        <v>39</v>
      </c>
      <c r="F82" s="11">
        <v>44978</v>
      </c>
      <c r="G82" s="11">
        <v>44982</v>
      </c>
      <c r="H82" s="33">
        <v>240</v>
      </c>
      <c r="I82">
        <v>10</v>
      </c>
      <c r="J82" s="41">
        <v>1</v>
      </c>
      <c r="K82" s="33">
        <v>24</v>
      </c>
      <c r="L82" t="str">
        <f>TEXT(F82,"MMMM")</f>
        <v>fevereiro</v>
      </c>
      <c r="M82" t="str">
        <f>TEXT(F82,"AAAA")</f>
        <v>2023</v>
      </c>
      <c r="N82" t="str">
        <f>TEXT(G82,"MMMM")</f>
        <v>fevereiro</v>
      </c>
      <c r="O82" t="str">
        <f>TEXT(G82,"AAAA")</f>
        <v>2023</v>
      </c>
    </row>
    <row r="83" spans="1:15" hidden="1">
      <c r="A83" t="s">
        <v>18</v>
      </c>
      <c r="B83">
        <v>1010101010</v>
      </c>
      <c r="C83">
        <v>1111111</v>
      </c>
      <c r="D83" s="9" t="s">
        <v>15</v>
      </c>
      <c r="E83" t="s">
        <v>39</v>
      </c>
      <c r="F83" s="11">
        <v>44978</v>
      </c>
      <c r="G83" s="11">
        <v>45010</v>
      </c>
      <c r="H83" s="33"/>
      <c r="I83">
        <v>10</v>
      </c>
      <c r="J83" s="41">
        <v>2</v>
      </c>
      <c r="K83" s="33">
        <v>24</v>
      </c>
      <c r="L83" t="str">
        <f t="shared" ref="L83:L102" si="32">TEXT(F83,"MMMM")</f>
        <v>fevereiro</v>
      </c>
      <c r="M83" t="str">
        <f t="shared" ref="M83:M102" si="33">TEXT(F83,"AAAA")</f>
        <v>2023</v>
      </c>
      <c r="N83" t="str">
        <f t="shared" ref="N83:N102" si="34">TEXT(G83,"MMMM")</f>
        <v>março</v>
      </c>
      <c r="O83" t="str">
        <f t="shared" ref="O83:O102" si="35">TEXT(G83,"AAAA")</f>
        <v>2023</v>
      </c>
    </row>
    <row r="84" spans="1:15" hidden="1">
      <c r="A84" t="s">
        <v>18</v>
      </c>
      <c r="B84">
        <v>1010101010</v>
      </c>
      <c r="C84">
        <v>1111111</v>
      </c>
      <c r="D84" s="9" t="s">
        <v>15</v>
      </c>
      <c r="E84" t="s">
        <v>39</v>
      </c>
      <c r="F84" s="11">
        <v>44978</v>
      </c>
      <c r="G84" s="11">
        <v>45041</v>
      </c>
      <c r="H84" s="33"/>
      <c r="I84">
        <v>10</v>
      </c>
      <c r="J84" s="41">
        <v>3</v>
      </c>
      <c r="K84" s="33">
        <v>24</v>
      </c>
      <c r="L84" t="str">
        <f t="shared" si="32"/>
        <v>fevereiro</v>
      </c>
      <c r="M84" t="str">
        <f t="shared" si="33"/>
        <v>2023</v>
      </c>
      <c r="N84" t="str">
        <f t="shared" si="34"/>
        <v>abril</v>
      </c>
      <c r="O84" t="str">
        <f t="shared" si="35"/>
        <v>2023</v>
      </c>
    </row>
    <row r="85" spans="1:15" hidden="1">
      <c r="A85" t="s">
        <v>18</v>
      </c>
      <c r="B85">
        <v>1010101010</v>
      </c>
      <c r="C85">
        <v>1111111</v>
      </c>
      <c r="D85" s="9" t="s">
        <v>15</v>
      </c>
      <c r="E85" t="s">
        <v>39</v>
      </c>
      <c r="F85" s="11">
        <v>44978</v>
      </c>
      <c r="G85" s="11">
        <v>45071</v>
      </c>
      <c r="H85" s="33"/>
      <c r="I85">
        <v>10</v>
      </c>
      <c r="J85" s="41">
        <v>4</v>
      </c>
      <c r="K85" s="33">
        <v>24</v>
      </c>
      <c r="L85" t="str">
        <f t="shared" si="32"/>
        <v>fevereiro</v>
      </c>
      <c r="M85" t="str">
        <f t="shared" si="33"/>
        <v>2023</v>
      </c>
      <c r="N85" t="str">
        <f t="shared" si="34"/>
        <v>maio</v>
      </c>
      <c r="O85" t="str">
        <f t="shared" si="35"/>
        <v>2023</v>
      </c>
    </row>
    <row r="86" spans="1:15" hidden="1">
      <c r="A86" t="s">
        <v>18</v>
      </c>
      <c r="B86">
        <v>1010101010</v>
      </c>
      <c r="C86">
        <v>1111111</v>
      </c>
      <c r="D86" s="9" t="s">
        <v>15</v>
      </c>
      <c r="E86" t="s">
        <v>39</v>
      </c>
      <c r="F86" s="11">
        <v>44978</v>
      </c>
      <c r="G86" s="11">
        <v>45102</v>
      </c>
      <c r="H86" s="33"/>
      <c r="I86">
        <v>10</v>
      </c>
      <c r="J86" s="41">
        <v>5</v>
      </c>
      <c r="K86" s="33">
        <v>24</v>
      </c>
      <c r="L86" t="str">
        <f t="shared" si="32"/>
        <v>fevereiro</v>
      </c>
      <c r="M86" t="str">
        <f t="shared" si="33"/>
        <v>2023</v>
      </c>
      <c r="N86" t="str">
        <f t="shared" si="34"/>
        <v>junho</v>
      </c>
      <c r="O86" t="str">
        <f t="shared" si="35"/>
        <v>2023</v>
      </c>
    </row>
    <row r="87" spans="1:15" hidden="1">
      <c r="A87" t="s">
        <v>18</v>
      </c>
      <c r="B87">
        <v>1010101010</v>
      </c>
      <c r="C87">
        <v>1111111</v>
      </c>
      <c r="D87" s="9" t="s">
        <v>15</v>
      </c>
      <c r="E87" t="s">
        <v>39</v>
      </c>
      <c r="F87" s="11">
        <v>44978</v>
      </c>
      <c r="G87" s="11">
        <v>45132</v>
      </c>
      <c r="H87" s="33"/>
      <c r="I87">
        <v>10</v>
      </c>
      <c r="J87" s="41">
        <v>6</v>
      </c>
      <c r="K87" s="33">
        <v>24</v>
      </c>
      <c r="L87" t="str">
        <f t="shared" si="32"/>
        <v>fevereiro</v>
      </c>
      <c r="M87" t="str">
        <f t="shared" si="33"/>
        <v>2023</v>
      </c>
      <c r="N87" t="str">
        <f t="shared" si="34"/>
        <v>julho</v>
      </c>
      <c r="O87" t="str">
        <f t="shared" si="35"/>
        <v>2023</v>
      </c>
    </row>
    <row r="88" spans="1:15" hidden="1">
      <c r="A88" t="s">
        <v>18</v>
      </c>
      <c r="B88">
        <v>1010101010</v>
      </c>
      <c r="C88">
        <v>1111111</v>
      </c>
      <c r="D88" s="9" t="s">
        <v>15</v>
      </c>
      <c r="E88" t="s">
        <v>39</v>
      </c>
      <c r="F88" s="11">
        <v>44978</v>
      </c>
      <c r="G88" s="11">
        <v>45163</v>
      </c>
      <c r="H88" s="33"/>
      <c r="I88">
        <v>10</v>
      </c>
      <c r="J88" s="41">
        <v>7</v>
      </c>
      <c r="K88" s="33">
        <v>24</v>
      </c>
      <c r="L88" t="str">
        <f t="shared" si="32"/>
        <v>fevereiro</v>
      </c>
      <c r="M88" t="str">
        <f t="shared" si="33"/>
        <v>2023</v>
      </c>
      <c r="N88" t="str">
        <f t="shared" si="34"/>
        <v>agosto</v>
      </c>
      <c r="O88" t="str">
        <f t="shared" si="35"/>
        <v>2023</v>
      </c>
    </row>
    <row r="89" spans="1:15" hidden="1">
      <c r="A89" t="s">
        <v>18</v>
      </c>
      <c r="B89">
        <v>1010101010</v>
      </c>
      <c r="C89">
        <v>1111111</v>
      </c>
      <c r="D89" s="9" t="s">
        <v>15</v>
      </c>
      <c r="E89" t="s">
        <v>39</v>
      </c>
      <c r="F89" s="11">
        <v>44978</v>
      </c>
      <c r="G89" s="11">
        <v>45194</v>
      </c>
      <c r="H89" s="33"/>
      <c r="I89">
        <v>10</v>
      </c>
      <c r="J89" s="41">
        <v>8</v>
      </c>
      <c r="K89" s="33">
        <v>24</v>
      </c>
      <c r="L89" t="str">
        <f t="shared" si="32"/>
        <v>fevereiro</v>
      </c>
      <c r="M89" t="str">
        <f t="shared" si="33"/>
        <v>2023</v>
      </c>
      <c r="N89" t="str">
        <f t="shared" si="34"/>
        <v>setembro</v>
      </c>
      <c r="O89" t="str">
        <f t="shared" si="35"/>
        <v>2023</v>
      </c>
    </row>
    <row r="90" spans="1:15" hidden="1">
      <c r="A90" t="s">
        <v>18</v>
      </c>
      <c r="B90">
        <v>1010101010</v>
      </c>
      <c r="C90">
        <v>1111111</v>
      </c>
      <c r="D90" s="9" t="s">
        <v>15</v>
      </c>
      <c r="E90" t="s">
        <v>39</v>
      </c>
      <c r="F90" s="11">
        <v>44978</v>
      </c>
      <c r="G90" s="11">
        <v>45224</v>
      </c>
      <c r="H90" s="33"/>
      <c r="I90">
        <v>10</v>
      </c>
      <c r="J90" s="41">
        <v>9</v>
      </c>
      <c r="K90" s="33">
        <v>24</v>
      </c>
      <c r="L90" t="str">
        <f t="shared" si="32"/>
        <v>fevereiro</v>
      </c>
      <c r="M90" t="str">
        <f t="shared" si="33"/>
        <v>2023</v>
      </c>
      <c r="N90" t="str">
        <f t="shared" si="34"/>
        <v>outubro</v>
      </c>
      <c r="O90" t="str">
        <f t="shared" si="35"/>
        <v>2023</v>
      </c>
    </row>
    <row r="91" spans="1:15" hidden="1">
      <c r="A91" t="s">
        <v>18</v>
      </c>
      <c r="B91">
        <v>1010101010</v>
      </c>
      <c r="C91">
        <v>1111111</v>
      </c>
      <c r="D91" s="9" t="s">
        <v>15</v>
      </c>
      <c r="E91" t="s">
        <v>39</v>
      </c>
      <c r="F91" s="11">
        <v>44978</v>
      </c>
      <c r="G91" s="11">
        <v>45255</v>
      </c>
      <c r="H91" s="33"/>
      <c r="I91">
        <v>10</v>
      </c>
      <c r="J91" s="41">
        <v>10</v>
      </c>
      <c r="K91" s="33">
        <v>24</v>
      </c>
      <c r="L91" t="str">
        <f t="shared" si="32"/>
        <v>fevereiro</v>
      </c>
      <c r="M91" t="str">
        <f t="shared" si="33"/>
        <v>2023</v>
      </c>
      <c r="N91" t="str">
        <f t="shared" si="34"/>
        <v>novembro</v>
      </c>
      <c r="O91" t="str">
        <f t="shared" si="35"/>
        <v>2023</v>
      </c>
    </row>
    <row r="92" spans="1:15" hidden="1">
      <c r="A92" t="s">
        <v>19</v>
      </c>
      <c r="B92">
        <v>202020202020</v>
      </c>
      <c r="C92">
        <v>22222</v>
      </c>
      <c r="D92" s="9" t="s">
        <v>16</v>
      </c>
      <c r="E92" t="s">
        <v>39</v>
      </c>
      <c r="F92" s="11">
        <v>45008</v>
      </c>
      <c r="G92" s="11">
        <v>45014</v>
      </c>
      <c r="H92" s="33">
        <v>250</v>
      </c>
      <c r="I92">
        <v>5</v>
      </c>
      <c r="J92" s="41">
        <v>1</v>
      </c>
      <c r="K92" s="33">
        <v>50</v>
      </c>
      <c r="L92" t="str">
        <f t="shared" si="32"/>
        <v>março</v>
      </c>
      <c r="M92" t="str">
        <f t="shared" si="33"/>
        <v>2023</v>
      </c>
      <c r="N92" t="str">
        <f t="shared" si="34"/>
        <v>março</v>
      </c>
      <c r="O92" t="str">
        <f t="shared" si="35"/>
        <v>2023</v>
      </c>
    </row>
    <row r="93" spans="1:15" hidden="1">
      <c r="A93" t="s">
        <v>19</v>
      </c>
      <c r="B93">
        <v>202020202020</v>
      </c>
      <c r="C93">
        <v>22222</v>
      </c>
      <c r="D93" s="9" t="s">
        <v>16</v>
      </c>
      <c r="E93" t="s">
        <v>39</v>
      </c>
      <c r="F93" s="11">
        <v>45008</v>
      </c>
      <c r="G93" s="11">
        <v>45045</v>
      </c>
      <c r="H93" s="33"/>
      <c r="I93">
        <v>5</v>
      </c>
      <c r="J93" s="41">
        <v>2</v>
      </c>
      <c r="K93" s="33">
        <v>50</v>
      </c>
      <c r="L93" t="str">
        <f t="shared" si="32"/>
        <v>março</v>
      </c>
      <c r="M93" t="str">
        <f t="shared" si="33"/>
        <v>2023</v>
      </c>
      <c r="N93" t="str">
        <f t="shared" si="34"/>
        <v>abril</v>
      </c>
      <c r="O93" t="str">
        <f t="shared" si="35"/>
        <v>2023</v>
      </c>
    </row>
    <row r="94" spans="1:15" hidden="1">
      <c r="A94" t="s">
        <v>19</v>
      </c>
      <c r="B94">
        <v>202020202020</v>
      </c>
      <c r="C94">
        <v>22222</v>
      </c>
      <c r="D94" s="9" t="s">
        <v>16</v>
      </c>
      <c r="E94" t="s">
        <v>39</v>
      </c>
      <c r="F94" s="11">
        <v>45008</v>
      </c>
      <c r="G94" s="11">
        <v>45075</v>
      </c>
      <c r="H94" s="33"/>
      <c r="I94">
        <v>5</v>
      </c>
      <c r="J94" s="41">
        <v>3</v>
      </c>
      <c r="K94" s="33">
        <v>50</v>
      </c>
      <c r="L94" t="str">
        <f t="shared" si="32"/>
        <v>março</v>
      </c>
      <c r="M94" t="str">
        <f t="shared" si="33"/>
        <v>2023</v>
      </c>
      <c r="N94" t="str">
        <f t="shared" si="34"/>
        <v>maio</v>
      </c>
      <c r="O94" t="str">
        <f t="shared" si="35"/>
        <v>2023</v>
      </c>
    </row>
    <row r="95" spans="1:15" hidden="1">
      <c r="A95" t="s">
        <v>19</v>
      </c>
      <c r="B95">
        <v>202020202020</v>
      </c>
      <c r="C95">
        <v>22222</v>
      </c>
      <c r="D95" s="9" t="s">
        <v>16</v>
      </c>
      <c r="E95" t="s">
        <v>39</v>
      </c>
      <c r="F95" s="11">
        <v>45008</v>
      </c>
      <c r="G95" s="11">
        <v>45106</v>
      </c>
      <c r="H95" s="33"/>
      <c r="I95">
        <v>5</v>
      </c>
      <c r="J95" s="41">
        <v>4</v>
      </c>
      <c r="K95" s="33">
        <v>50</v>
      </c>
      <c r="L95" t="str">
        <f t="shared" si="32"/>
        <v>março</v>
      </c>
      <c r="M95" t="str">
        <f t="shared" si="33"/>
        <v>2023</v>
      </c>
      <c r="N95" t="str">
        <f t="shared" si="34"/>
        <v>junho</v>
      </c>
      <c r="O95" t="str">
        <f t="shared" si="35"/>
        <v>2023</v>
      </c>
    </row>
    <row r="96" spans="1:15" hidden="1">
      <c r="A96" t="s">
        <v>19</v>
      </c>
      <c r="B96">
        <v>202020202020</v>
      </c>
      <c r="C96">
        <v>22222</v>
      </c>
      <c r="D96" s="9" t="s">
        <v>16</v>
      </c>
      <c r="E96" t="s">
        <v>39</v>
      </c>
      <c r="F96" s="11">
        <v>45008</v>
      </c>
      <c r="G96" s="11">
        <v>45136</v>
      </c>
      <c r="H96" s="33"/>
      <c r="I96">
        <v>5</v>
      </c>
      <c r="J96" s="41">
        <v>5</v>
      </c>
      <c r="K96" s="33">
        <v>50</v>
      </c>
      <c r="L96" t="str">
        <f t="shared" si="32"/>
        <v>março</v>
      </c>
      <c r="M96" t="str">
        <f t="shared" si="33"/>
        <v>2023</v>
      </c>
      <c r="N96" t="str">
        <f t="shared" si="34"/>
        <v>julho</v>
      </c>
      <c r="O96" t="str">
        <f t="shared" si="35"/>
        <v>2023</v>
      </c>
    </row>
    <row r="97" spans="1:15" hidden="1">
      <c r="A97" t="s">
        <v>20</v>
      </c>
      <c r="B97">
        <v>3030303030303</v>
      </c>
      <c r="C97">
        <v>33333</v>
      </c>
      <c r="D97" s="9" t="s">
        <v>17</v>
      </c>
      <c r="E97" t="s">
        <v>39</v>
      </c>
      <c r="F97" s="11">
        <v>44938</v>
      </c>
      <c r="G97" s="11">
        <v>44938</v>
      </c>
      <c r="H97" s="33">
        <v>360</v>
      </c>
      <c r="I97">
        <v>6</v>
      </c>
      <c r="J97" s="41">
        <v>1</v>
      </c>
      <c r="K97" s="33">
        <v>60</v>
      </c>
      <c r="L97" t="str">
        <f t="shared" si="32"/>
        <v>janeiro</v>
      </c>
      <c r="M97" t="str">
        <f t="shared" si="33"/>
        <v>2023</v>
      </c>
      <c r="N97" t="str">
        <f t="shared" si="34"/>
        <v>janeiro</v>
      </c>
      <c r="O97" t="str">
        <f t="shared" si="35"/>
        <v>2023</v>
      </c>
    </row>
    <row r="98" spans="1:15" hidden="1">
      <c r="A98" t="s">
        <v>20</v>
      </c>
      <c r="B98">
        <v>3030303030303</v>
      </c>
      <c r="C98">
        <v>33333</v>
      </c>
      <c r="D98" s="9" t="s">
        <v>17</v>
      </c>
      <c r="E98" t="s">
        <v>39</v>
      </c>
      <c r="F98" s="11">
        <v>44938</v>
      </c>
      <c r="G98" s="11">
        <v>44969</v>
      </c>
      <c r="H98" s="33"/>
      <c r="I98">
        <v>6</v>
      </c>
      <c r="J98" s="41">
        <v>2</v>
      </c>
      <c r="K98" s="33">
        <v>60</v>
      </c>
      <c r="L98" t="str">
        <f t="shared" si="32"/>
        <v>janeiro</v>
      </c>
      <c r="M98" t="str">
        <f t="shared" si="33"/>
        <v>2023</v>
      </c>
      <c r="N98" t="str">
        <f t="shared" si="34"/>
        <v>fevereiro</v>
      </c>
      <c r="O98" t="str">
        <f t="shared" si="35"/>
        <v>2023</v>
      </c>
    </row>
    <row r="99" spans="1:15" hidden="1">
      <c r="A99" t="s">
        <v>20</v>
      </c>
      <c r="B99">
        <v>3030303030303</v>
      </c>
      <c r="C99">
        <v>33333</v>
      </c>
      <c r="D99" s="9" t="s">
        <v>17</v>
      </c>
      <c r="E99" t="s">
        <v>39</v>
      </c>
      <c r="F99" s="11">
        <v>44938</v>
      </c>
      <c r="G99" s="11">
        <v>44997</v>
      </c>
      <c r="H99" s="33"/>
      <c r="I99">
        <v>6</v>
      </c>
      <c r="J99" s="41">
        <v>3</v>
      </c>
      <c r="K99" s="33">
        <v>60</v>
      </c>
      <c r="L99" t="str">
        <f t="shared" si="32"/>
        <v>janeiro</v>
      </c>
      <c r="M99" t="str">
        <f t="shared" si="33"/>
        <v>2023</v>
      </c>
      <c r="N99" t="str">
        <f t="shared" si="34"/>
        <v>março</v>
      </c>
      <c r="O99" t="str">
        <f t="shared" si="35"/>
        <v>2023</v>
      </c>
    </row>
    <row r="100" spans="1:15" hidden="1">
      <c r="A100" t="s">
        <v>20</v>
      </c>
      <c r="B100">
        <v>3030303030303</v>
      </c>
      <c r="C100">
        <v>33333</v>
      </c>
      <c r="D100" s="9" t="s">
        <v>17</v>
      </c>
      <c r="E100" t="s">
        <v>39</v>
      </c>
      <c r="F100" s="11">
        <v>44938</v>
      </c>
      <c r="G100" s="11">
        <v>45028</v>
      </c>
      <c r="H100" s="33"/>
      <c r="I100">
        <v>6</v>
      </c>
      <c r="J100" s="41">
        <v>4</v>
      </c>
      <c r="K100" s="33">
        <v>60</v>
      </c>
      <c r="L100" t="str">
        <f t="shared" si="32"/>
        <v>janeiro</v>
      </c>
      <c r="M100" t="str">
        <f t="shared" si="33"/>
        <v>2023</v>
      </c>
      <c r="N100" t="str">
        <f t="shared" si="34"/>
        <v>abril</v>
      </c>
      <c r="O100" t="str">
        <f t="shared" si="35"/>
        <v>2023</v>
      </c>
    </row>
    <row r="101" spans="1:15" hidden="1">
      <c r="A101" t="s">
        <v>20</v>
      </c>
      <c r="B101">
        <v>3030303030303</v>
      </c>
      <c r="C101">
        <v>33333</v>
      </c>
      <c r="D101" s="9" t="s">
        <v>17</v>
      </c>
      <c r="E101" t="s">
        <v>39</v>
      </c>
      <c r="F101" s="11">
        <v>44938</v>
      </c>
      <c r="G101" s="11">
        <v>45058</v>
      </c>
      <c r="H101" s="33"/>
      <c r="I101">
        <v>6</v>
      </c>
      <c r="J101" s="41">
        <v>5</v>
      </c>
      <c r="K101" s="33">
        <v>60</v>
      </c>
      <c r="L101" t="str">
        <f t="shared" si="32"/>
        <v>janeiro</v>
      </c>
      <c r="M101" t="str">
        <f t="shared" si="33"/>
        <v>2023</v>
      </c>
      <c r="N101" t="str">
        <f t="shared" si="34"/>
        <v>maio</v>
      </c>
      <c r="O101" t="str">
        <f t="shared" si="35"/>
        <v>2023</v>
      </c>
    </row>
    <row r="102" spans="1:15" hidden="1">
      <c r="A102" t="s">
        <v>20</v>
      </c>
      <c r="B102">
        <v>3030303030303</v>
      </c>
      <c r="C102">
        <v>33333</v>
      </c>
      <c r="D102" s="9" t="s">
        <v>17</v>
      </c>
      <c r="E102" t="s">
        <v>39</v>
      </c>
      <c r="F102" s="11">
        <v>44938</v>
      </c>
      <c r="G102" s="11">
        <v>45089</v>
      </c>
      <c r="H102" s="33"/>
      <c r="I102">
        <v>6</v>
      </c>
      <c r="J102" s="41">
        <v>6</v>
      </c>
      <c r="K102" s="33">
        <v>60</v>
      </c>
      <c r="L102" t="str">
        <f t="shared" si="32"/>
        <v>janeiro</v>
      </c>
      <c r="M102" t="str">
        <f t="shared" si="33"/>
        <v>2023</v>
      </c>
      <c r="N102" t="str">
        <f t="shared" si="34"/>
        <v>junho</v>
      </c>
      <c r="O102" t="str">
        <f t="shared" si="35"/>
        <v>2023</v>
      </c>
    </row>
    <row r="103" spans="1:15">
      <c r="C103" s="39"/>
      <c r="D103" s="9"/>
    </row>
  </sheetData>
  <autoFilter ref="A1:O102" xr:uid="{0AEDBB6B-BD16-4B33-8CC1-8281D4967915}">
    <filterColumn colId="14">
      <filters>
        <filter val="2024"/>
      </filters>
    </filterColumn>
  </autoFilter>
  <hyperlinks>
    <hyperlink ref="D82" r:id="rId1" xr:uid="{CB2870DB-33A6-4C03-AC95-7861AD436076}"/>
    <hyperlink ref="D92" r:id="rId2" xr:uid="{0B4099E1-33B9-40E8-AC9D-42C6B15F5FCE}"/>
    <hyperlink ref="D97" r:id="rId3" xr:uid="{614E2E50-A7F2-4C62-9248-F6338612BABA}"/>
    <hyperlink ref="D83" r:id="rId4" xr:uid="{9D91E14E-B3DB-4907-A950-AD3BDABF1588}"/>
    <hyperlink ref="D84" r:id="rId5" xr:uid="{50D6C325-5E73-4D85-907D-870FC6D8863F}"/>
    <hyperlink ref="D85" r:id="rId6" xr:uid="{51B69023-74F5-40DF-ABC0-774CF1DD198E}"/>
    <hyperlink ref="D86" r:id="rId7" xr:uid="{4C29A8FA-65DF-482E-820A-2E572BE3FCDC}"/>
    <hyperlink ref="D87" r:id="rId8" xr:uid="{86A0D38B-1FE0-4470-831F-9FA870C15D59}"/>
    <hyperlink ref="D88" r:id="rId9" xr:uid="{6EB70BC6-8580-46E1-9E56-F39DF389298B}"/>
    <hyperlink ref="D89" r:id="rId10" xr:uid="{923F9C0F-D052-42BA-B46A-544E37D246D4}"/>
    <hyperlink ref="D90" r:id="rId11" xr:uid="{B6C18CB7-18CF-4D71-AD0B-81BFAE6C5D62}"/>
    <hyperlink ref="D91" r:id="rId12" xr:uid="{9458703C-8EE9-4969-B023-7E913D73CC75}"/>
    <hyperlink ref="D93" r:id="rId13" xr:uid="{44607B74-FD29-450B-9EE1-FD0094103523}"/>
    <hyperlink ref="D94" r:id="rId14" xr:uid="{8BD948FD-A015-49E9-A285-739CFBCE8E96}"/>
    <hyperlink ref="D95" r:id="rId15" xr:uid="{86D16D1F-C7A7-4E1F-8FBA-5860C2C4F147}"/>
    <hyperlink ref="D96" r:id="rId16" xr:uid="{F7850BC7-1C2E-42CB-AFB7-ADC15F0511E7}"/>
    <hyperlink ref="D98" r:id="rId17" xr:uid="{50513DBC-AC84-494A-A9E2-A783507159A8}"/>
    <hyperlink ref="D99" r:id="rId18" xr:uid="{6336BCA9-20D7-4BA3-BFC4-4D2D63FE12AF}"/>
    <hyperlink ref="D100" r:id="rId19" xr:uid="{CC680521-9A25-4117-9C9E-3E95DF288EFA}"/>
    <hyperlink ref="D101" r:id="rId20" xr:uid="{D0DB5106-5E4F-458E-A3A0-81818DB9B98B}"/>
    <hyperlink ref="D102" r:id="rId21" xr:uid="{8DFD090A-0329-4F2B-BDB0-D4705451ED0C}"/>
  </hyperlink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7F238-350C-44EA-ABE3-E3E39DD6B7FA}">
  <sheetPr codeName="Planilha6"/>
  <dimension ref="A1:G4"/>
  <sheetViews>
    <sheetView workbookViewId="0">
      <pane ySplit="1" topLeftCell="A2" activePane="bottomLeft" state="frozen"/>
      <selection pane="bottomLeft" activeCell="E2" sqref="E2"/>
    </sheetView>
  </sheetViews>
  <sheetFormatPr defaultRowHeight="14.5"/>
  <cols>
    <col min="1" max="1" width="14.36328125" customWidth="1"/>
    <col min="2" max="2" width="14.08984375" bestFit="1" customWidth="1"/>
    <col min="3" max="3" width="13.54296875" customWidth="1"/>
    <col min="4" max="4" width="18.1796875" bestFit="1" customWidth="1"/>
    <col min="5" max="5" width="15.1796875" bestFit="1" customWidth="1"/>
    <col min="6" max="6" width="16.81640625" bestFit="1" customWidth="1"/>
    <col min="7" max="7" width="17.453125" bestFit="1" customWidth="1"/>
  </cols>
  <sheetData>
    <row r="1" spans="1:7" ht="15" thickBot="1">
      <c r="A1" s="34" t="s">
        <v>5</v>
      </c>
      <c r="B1" s="35" t="s">
        <v>1</v>
      </c>
      <c r="C1" s="35" t="s">
        <v>13</v>
      </c>
      <c r="D1" s="35" t="s">
        <v>14</v>
      </c>
      <c r="E1" s="35" t="s">
        <v>43</v>
      </c>
      <c r="F1" s="35" t="s">
        <v>32</v>
      </c>
      <c r="G1" s="36" t="s">
        <v>33</v>
      </c>
    </row>
    <row r="2" spans="1:7">
      <c r="A2" s="44" t="s">
        <v>44</v>
      </c>
      <c r="B2" s="45">
        <v>8244227427</v>
      </c>
      <c r="C2" s="11">
        <v>44938</v>
      </c>
      <c r="D2" s="11">
        <v>45058</v>
      </c>
      <c r="E2" s="33">
        <v>34</v>
      </c>
      <c r="F2" t="str">
        <f>TEXT(D2,"MMMM")</f>
        <v>maio</v>
      </c>
      <c r="G2" t="str">
        <f>TEXT(D2,"AAAA")</f>
        <v>2023</v>
      </c>
    </row>
    <row r="3" spans="1:7">
      <c r="A3" s="44" t="s">
        <v>44</v>
      </c>
      <c r="B3" s="45">
        <v>8244227427</v>
      </c>
      <c r="C3" s="11">
        <v>44938</v>
      </c>
      <c r="D3" s="11">
        <v>45089</v>
      </c>
      <c r="E3" s="33">
        <v>35</v>
      </c>
      <c r="F3" t="str">
        <f>TEXT(D3,"MMMM")</f>
        <v>junho</v>
      </c>
      <c r="G3" t="str">
        <f>TEXT(D3,"AAAA")</f>
        <v>2023</v>
      </c>
    </row>
    <row r="4" spans="1:7">
      <c r="A4" s="44" t="s">
        <v>44</v>
      </c>
      <c r="B4" s="45">
        <v>8244227427</v>
      </c>
      <c r="C4" s="11">
        <v>44938</v>
      </c>
      <c r="D4" s="11">
        <v>45150</v>
      </c>
      <c r="E4" s="33">
        <v>53</v>
      </c>
      <c r="F4" t="str">
        <f t="shared" ref="F4" si="0">TEXT(D4,"MMMM")</f>
        <v>agosto</v>
      </c>
      <c r="G4" t="str">
        <f t="shared" ref="G4" si="1">TEXT(D4,"AAAA")</f>
        <v>2023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7203-2F46-4BC3-822E-A83A543CBC26}">
  <sheetPr codeName="Planilha7"/>
  <dimension ref="C1:P76"/>
  <sheetViews>
    <sheetView showGridLines="0" showRowColHeaders="0" workbookViewId="0">
      <selection activeCell="N11" sqref="N11"/>
    </sheetView>
  </sheetViews>
  <sheetFormatPr defaultRowHeight="14.5"/>
  <cols>
    <col min="1" max="1" width="3.1796875" customWidth="1"/>
    <col min="2" max="2" width="2.7265625" customWidth="1"/>
    <col min="3" max="3" width="11.54296875" bestFit="1" customWidth="1"/>
    <col min="4" max="4" width="2" customWidth="1"/>
    <col min="5" max="5" width="8.453125" customWidth="1"/>
    <col min="6" max="6" width="15.90625" style="75" bestFit="1" customWidth="1"/>
    <col min="7" max="7" width="15.81640625" style="75" bestFit="1" customWidth="1"/>
    <col min="8" max="8" width="18.7265625" style="75" bestFit="1" customWidth="1"/>
    <col min="9" max="9" width="4.1796875" style="75" customWidth="1"/>
    <col min="10" max="10" width="17.54296875" style="72" bestFit="1" customWidth="1"/>
    <col min="11" max="11" width="10.08984375" style="72" bestFit="1" customWidth="1"/>
    <col min="12" max="12" width="14.26953125" style="72" bestFit="1" customWidth="1"/>
    <col min="13" max="14" width="16.7265625" style="72" bestFit="1" customWidth="1"/>
    <col min="15" max="15" width="16.7265625" bestFit="1" customWidth="1"/>
    <col min="16" max="16" width="16.08984375" bestFit="1" customWidth="1"/>
    <col min="17" max="17" width="16.7265625" bestFit="1" customWidth="1"/>
  </cols>
  <sheetData>
    <row r="1" spans="3:16" ht="53" customHeight="1"/>
    <row r="2" spans="3:16" ht="18.5">
      <c r="C2" s="68"/>
      <c r="E2" s="70"/>
      <c r="F2" s="89" t="s">
        <v>33</v>
      </c>
      <c r="G2" s="89" t="s">
        <v>32</v>
      </c>
      <c r="H2" s="89" t="s">
        <v>101</v>
      </c>
      <c r="N2" s="76"/>
      <c r="O2" s="70"/>
      <c r="P2" s="70"/>
    </row>
    <row r="3" spans="3:16" ht="18.5">
      <c r="C3" s="68"/>
      <c r="F3" s="89" t="s">
        <v>99</v>
      </c>
      <c r="G3" s="89" t="s">
        <v>94</v>
      </c>
      <c r="H3" s="90">
        <v>219.8</v>
      </c>
      <c r="J3" s="71" t="s">
        <v>5</v>
      </c>
      <c r="K3" s="71" t="s">
        <v>7</v>
      </c>
      <c r="L3" s="71" t="s">
        <v>14</v>
      </c>
      <c r="M3" s="71" t="s">
        <v>100</v>
      </c>
      <c r="N3" s="71" t="s">
        <v>11</v>
      </c>
    </row>
    <row r="4" spans="3:16">
      <c r="F4" s="89" t="s">
        <v>34</v>
      </c>
      <c r="G4" s="89"/>
      <c r="H4" s="90">
        <v>219.8</v>
      </c>
      <c r="J4" s="72" t="s">
        <v>19</v>
      </c>
      <c r="K4" s="72" t="s">
        <v>42</v>
      </c>
      <c r="L4" s="73">
        <v>45321</v>
      </c>
      <c r="M4" s="72">
        <v>9</v>
      </c>
      <c r="N4" s="74">
        <v>34</v>
      </c>
    </row>
    <row r="5" spans="3:16">
      <c r="F5"/>
      <c r="G5"/>
      <c r="H5"/>
      <c r="J5" s="72" t="s">
        <v>19</v>
      </c>
      <c r="K5" s="72" t="s">
        <v>41</v>
      </c>
      <c r="L5" s="73">
        <v>45321</v>
      </c>
      <c r="M5" s="72">
        <v>9</v>
      </c>
      <c r="N5" s="74">
        <v>34</v>
      </c>
    </row>
    <row r="6" spans="3:16">
      <c r="F6"/>
      <c r="G6"/>
      <c r="H6"/>
      <c r="J6" s="72" t="s">
        <v>37</v>
      </c>
      <c r="K6" s="72" t="s">
        <v>40</v>
      </c>
      <c r="L6" s="73">
        <v>45321</v>
      </c>
      <c r="M6" s="72">
        <v>9</v>
      </c>
      <c r="N6" s="74">
        <v>45.6</v>
      </c>
    </row>
    <row r="7" spans="3:16">
      <c r="F7"/>
      <c r="G7"/>
      <c r="H7"/>
      <c r="J7" s="72" t="s">
        <v>37</v>
      </c>
      <c r="K7" s="72" t="s">
        <v>40</v>
      </c>
      <c r="L7" s="73">
        <v>45321</v>
      </c>
      <c r="M7" s="72">
        <v>9</v>
      </c>
      <c r="N7" s="74">
        <v>15</v>
      </c>
    </row>
    <row r="8" spans="3:16">
      <c r="F8"/>
      <c r="G8"/>
      <c r="H8"/>
      <c r="J8" s="72" t="s">
        <v>34</v>
      </c>
    </row>
    <row r="9" spans="3:16">
      <c r="F9"/>
      <c r="G9"/>
      <c r="H9"/>
      <c r="J9"/>
      <c r="K9"/>
      <c r="L9"/>
      <c r="M9"/>
      <c r="N9"/>
    </row>
    <row r="10" spans="3:16">
      <c r="F10"/>
      <c r="G10"/>
      <c r="H10"/>
      <c r="J10"/>
      <c r="K10"/>
      <c r="L10"/>
      <c r="M10"/>
      <c r="N10"/>
    </row>
    <row r="11" spans="3:16">
      <c r="F11"/>
      <c r="G11"/>
      <c r="H11"/>
      <c r="J11"/>
      <c r="K11"/>
      <c r="L11"/>
      <c r="M11"/>
      <c r="N11"/>
    </row>
    <row r="12" spans="3:16">
      <c r="F12"/>
      <c r="G12"/>
      <c r="H12"/>
      <c r="J12"/>
      <c r="K12"/>
      <c r="L12"/>
      <c r="M12"/>
      <c r="N12"/>
    </row>
    <row r="13" spans="3:16">
      <c r="F13"/>
      <c r="G13"/>
      <c r="H13"/>
      <c r="J13"/>
      <c r="K13"/>
      <c r="L13"/>
      <c r="M13"/>
      <c r="N13"/>
    </row>
    <row r="14" spans="3:16">
      <c r="F14"/>
      <c r="G14"/>
      <c r="H14"/>
      <c r="J14"/>
      <c r="K14"/>
      <c r="L14"/>
      <c r="M14"/>
      <c r="N14"/>
    </row>
    <row r="15" spans="3:16">
      <c r="F15" s="41" t="s">
        <v>19</v>
      </c>
      <c r="G15" s="41">
        <v>202020202020</v>
      </c>
      <c r="H15" s="41">
        <v>22222</v>
      </c>
      <c r="I15" s="41" t="s">
        <v>16</v>
      </c>
      <c r="J15" s="41" t="s">
        <v>42</v>
      </c>
      <c r="K15" s="42">
        <v>45070</v>
      </c>
      <c r="L15" s="42">
        <v>45321</v>
      </c>
      <c r="M15" s="41"/>
      <c r="N15" s="43">
        <v>34</v>
      </c>
      <c r="O15" s="41">
        <v>9</v>
      </c>
      <c r="P15" s="43">
        <v>34</v>
      </c>
    </row>
    <row r="16" spans="3:16">
      <c r="F16" s="41" t="s">
        <v>19</v>
      </c>
      <c r="G16" s="41">
        <v>202020202020</v>
      </c>
      <c r="H16" s="41">
        <v>22222</v>
      </c>
      <c r="I16" s="41" t="s">
        <v>16</v>
      </c>
      <c r="J16" s="41" t="s">
        <v>42</v>
      </c>
      <c r="K16" s="42">
        <v>45070</v>
      </c>
      <c r="L16" s="42">
        <v>45351</v>
      </c>
      <c r="M16" s="41"/>
      <c r="N16" s="43">
        <v>34</v>
      </c>
      <c r="O16" s="41">
        <v>10</v>
      </c>
      <c r="P16" s="43">
        <v>34</v>
      </c>
    </row>
    <row r="17" spans="6:16">
      <c r="F17" s="41" t="s">
        <v>19</v>
      </c>
      <c r="G17" s="41">
        <v>202020202020</v>
      </c>
      <c r="H17" s="41">
        <v>22222</v>
      </c>
      <c r="I17" s="41" t="s">
        <v>16</v>
      </c>
      <c r="J17" s="41" t="s">
        <v>41</v>
      </c>
      <c r="K17" s="42">
        <v>45070</v>
      </c>
      <c r="L17" s="42">
        <v>45321</v>
      </c>
      <c r="M17" s="41"/>
      <c r="N17" s="43">
        <v>34</v>
      </c>
      <c r="O17" s="41">
        <v>9</v>
      </c>
      <c r="P17" s="43">
        <v>34</v>
      </c>
    </row>
    <row r="18" spans="6:16">
      <c r="F18" s="41" t="s">
        <v>19</v>
      </c>
      <c r="G18" s="41">
        <v>202020202020</v>
      </c>
      <c r="H18" s="41">
        <v>22222</v>
      </c>
      <c r="I18" s="41" t="s">
        <v>16</v>
      </c>
      <c r="J18" s="41" t="s">
        <v>41</v>
      </c>
      <c r="K18" s="42">
        <v>45070</v>
      </c>
      <c r="L18" s="42">
        <v>45351</v>
      </c>
      <c r="M18" s="41"/>
      <c r="N18" s="43">
        <v>34</v>
      </c>
      <c r="O18" s="41">
        <v>10</v>
      </c>
      <c r="P18" s="43">
        <v>34</v>
      </c>
    </row>
    <row r="19" spans="6:16">
      <c r="F19" s="41" t="s">
        <v>37</v>
      </c>
      <c r="G19" s="41">
        <v>33311122200</v>
      </c>
      <c r="H19" s="41">
        <v>1122334445</v>
      </c>
      <c r="I19" s="41" t="s">
        <v>38</v>
      </c>
      <c r="J19" s="41" t="s">
        <v>40</v>
      </c>
      <c r="K19" s="42">
        <v>45070</v>
      </c>
      <c r="L19" s="42">
        <v>45321</v>
      </c>
      <c r="M19" s="41"/>
      <c r="N19" s="43">
        <v>45.6</v>
      </c>
      <c r="O19" s="41">
        <v>9</v>
      </c>
      <c r="P19" s="43">
        <v>45.6</v>
      </c>
    </row>
    <row r="20" spans="6:16">
      <c r="F20" s="41" t="s">
        <v>37</v>
      </c>
      <c r="G20" s="41">
        <v>33311122200</v>
      </c>
      <c r="H20" s="41">
        <v>1122334445</v>
      </c>
      <c r="I20" s="41" t="s">
        <v>38</v>
      </c>
      <c r="J20" s="41" t="s">
        <v>40</v>
      </c>
      <c r="K20" s="42">
        <v>45070</v>
      </c>
      <c r="L20" s="42">
        <v>45351</v>
      </c>
      <c r="M20" s="41"/>
      <c r="N20" s="43">
        <v>45.6</v>
      </c>
      <c r="O20" s="41">
        <v>10</v>
      </c>
      <c r="P20" s="43">
        <v>45.6</v>
      </c>
    </row>
    <row r="21" spans="6:16">
      <c r="F21" s="41" t="s">
        <v>37</v>
      </c>
      <c r="G21" s="41">
        <v>33311122200</v>
      </c>
      <c r="H21" s="41">
        <v>1122334445</v>
      </c>
      <c r="I21" s="41" t="s">
        <v>38</v>
      </c>
      <c r="J21" s="41" t="s">
        <v>40</v>
      </c>
      <c r="K21" s="42">
        <v>45070</v>
      </c>
      <c r="L21" s="42">
        <v>45321</v>
      </c>
      <c r="M21" s="41"/>
      <c r="N21" s="43">
        <v>45.6</v>
      </c>
      <c r="O21" s="41">
        <v>9</v>
      </c>
      <c r="P21" s="43">
        <v>45.6</v>
      </c>
    </row>
    <row r="22" spans="6:16">
      <c r="F22" s="41" t="s">
        <v>37</v>
      </c>
      <c r="G22" s="41">
        <v>33311122200</v>
      </c>
      <c r="H22" s="41">
        <v>1122334445</v>
      </c>
      <c r="I22" s="41" t="s">
        <v>38</v>
      </c>
      <c r="J22" s="41" t="s">
        <v>40</v>
      </c>
      <c r="K22" s="42">
        <v>45070</v>
      </c>
      <c r="L22" s="42">
        <v>45351</v>
      </c>
      <c r="M22" s="41"/>
      <c r="N22" s="43">
        <v>45.6</v>
      </c>
      <c r="O22" s="41">
        <v>10</v>
      </c>
      <c r="P22" s="43">
        <v>45.6</v>
      </c>
    </row>
    <row r="23" spans="6:16">
      <c r="F23" s="41" t="s">
        <v>37</v>
      </c>
      <c r="G23" s="41">
        <v>33311122200</v>
      </c>
      <c r="H23" s="41">
        <v>1122334445</v>
      </c>
      <c r="I23" s="41" t="s">
        <v>38</v>
      </c>
      <c r="J23" s="41" t="s">
        <v>40</v>
      </c>
      <c r="K23" s="42">
        <v>45070</v>
      </c>
      <c r="L23" s="42">
        <v>45321</v>
      </c>
      <c r="M23" s="41"/>
      <c r="N23" s="43">
        <v>45.6</v>
      </c>
      <c r="O23" s="41">
        <v>9</v>
      </c>
      <c r="P23" s="43">
        <v>45.6</v>
      </c>
    </row>
    <row r="24" spans="6:16">
      <c r="F24" s="41" t="s">
        <v>37</v>
      </c>
      <c r="G24" s="41">
        <v>33311122200</v>
      </c>
      <c r="H24" s="41">
        <v>1122334445</v>
      </c>
      <c r="I24" s="41" t="s">
        <v>38</v>
      </c>
      <c r="J24" s="41" t="s">
        <v>40</v>
      </c>
      <c r="K24" s="42">
        <v>45070</v>
      </c>
      <c r="L24" s="42">
        <v>45351</v>
      </c>
      <c r="M24" s="41"/>
      <c r="N24" s="43">
        <v>45.6</v>
      </c>
      <c r="O24" s="41">
        <v>10</v>
      </c>
      <c r="P24" s="43">
        <v>45.6</v>
      </c>
    </row>
    <row r="25" spans="6:16">
      <c r="F25" s="41" t="s">
        <v>37</v>
      </c>
      <c r="G25" s="41">
        <v>33311122200</v>
      </c>
      <c r="H25" s="41">
        <v>1122334445</v>
      </c>
      <c r="I25" s="41" t="s">
        <v>38</v>
      </c>
      <c r="J25" s="41" t="s">
        <v>40</v>
      </c>
      <c r="K25" s="42">
        <v>45070</v>
      </c>
      <c r="L25" s="42">
        <v>45321</v>
      </c>
      <c r="M25" s="41"/>
      <c r="N25" s="43">
        <v>15</v>
      </c>
      <c r="O25" s="41">
        <v>9</v>
      </c>
      <c r="P25" s="43">
        <v>15</v>
      </c>
    </row>
    <row r="26" spans="6:16">
      <c r="F26" s="41" t="s">
        <v>37</v>
      </c>
      <c r="G26" s="41">
        <v>33311122200</v>
      </c>
      <c r="H26" s="41">
        <v>1122334445</v>
      </c>
      <c r="I26" s="41" t="s">
        <v>38</v>
      </c>
      <c r="J26" s="41" t="s">
        <v>40</v>
      </c>
      <c r="K26" s="42">
        <v>45070</v>
      </c>
      <c r="L26" s="42">
        <v>45351</v>
      </c>
      <c r="M26" s="41"/>
      <c r="N26" s="43">
        <v>15</v>
      </c>
      <c r="O26" s="41">
        <v>10</v>
      </c>
      <c r="P26" s="43">
        <v>15</v>
      </c>
    </row>
    <row r="27" spans="6:16">
      <c r="J27"/>
      <c r="K27"/>
      <c r="L27"/>
      <c r="M27"/>
      <c r="N27"/>
    </row>
    <row r="28" spans="6:16">
      <c r="J28"/>
      <c r="K28"/>
      <c r="L28"/>
      <c r="M28"/>
      <c r="N28"/>
    </row>
    <row r="29" spans="6:16">
      <c r="J29"/>
      <c r="K29"/>
      <c r="L29"/>
      <c r="M29"/>
      <c r="N29"/>
    </row>
    <row r="30" spans="6:16">
      <c r="J30"/>
      <c r="K30"/>
      <c r="L30"/>
      <c r="M30"/>
      <c r="N30"/>
    </row>
    <row r="31" spans="6:16">
      <c r="J31"/>
      <c r="K31"/>
      <c r="L31"/>
      <c r="M31"/>
      <c r="N31"/>
    </row>
    <row r="32" spans="6:16">
      <c r="J32"/>
      <c r="K32"/>
      <c r="L32"/>
      <c r="M32"/>
      <c r="N32"/>
    </row>
    <row r="33" spans="10:14">
      <c r="J33"/>
      <c r="K33"/>
      <c r="L33"/>
      <c r="M33"/>
      <c r="N33"/>
    </row>
    <row r="34" spans="10:14">
      <c r="J34"/>
      <c r="K34"/>
      <c r="L34"/>
      <c r="M34"/>
      <c r="N34"/>
    </row>
    <row r="35" spans="10:14">
      <c r="J35"/>
      <c r="K35"/>
      <c r="L35"/>
      <c r="M35"/>
      <c r="N35"/>
    </row>
    <row r="36" spans="10:14">
      <c r="J36"/>
      <c r="K36"/>
      <c r="L36"/>
      <c r="M36"/>
      <c r="N36"/>
    </row>
    <row r="37" spans="10:14">
      <c r="J37"/>
      <c r="K37"/>
      <c r="L37"/>
      <c r="M37"/>
      <c r="N37"/>
    </row>
    <row r="38" spans="10:14">
      <c r="J38"/>
      <c r="K38"/>
      <c r="L38"/>
      <c r="M38"/>
      <c r="N38"/>
    </row>
    <row r="39" spans="10:14">
      <c r="J39"/>
      <c r="K39"/>
      <c r="L39"/>
      <c r="M39"/>
      <c r="N39"/>
    </row>
    <row r="40" spans="10:14">
      <c r="J40"/>
      <c r="K40"/>
      <c r="L40"/>
      <c r="M40"/>
      <c r="N40"/>
    </row>
    <row r="41" spans="10:14">
      <c r="J41"/>
      <c r="K41"/>
      <c r="L41"/>
      <c r="M41"/>
      <c r="N41"/>
    </row>
    <row r="42" spans="10:14">
      <c r="J42"/>
      <c r="K42"/>
      <c r="L42"/>
      <c r="M42"/>
      <c r="N42"/>
    </row>
    <row r="43" spans="10:14">
      <c r="J43"/>
      <c r="K43"/>
      <c r="L43"/>
      <c r="M43"/>
      <c r="N43"/>
    </row>
    <row r="44" spans="10:14">
      <c r="J44"/>
      <c r="K44"/>
      <c r="L44"/>
      <c r="M44"/>
      <c r="N44"/>
    </row>
    <row r="45" spans="10:14">
      <c r="J45"/>
      <c r="K45"/>
      <c r="L45"/>
      <c r="M45"/>
      <c r="N45"/>
    </row>
    <row r="46" spans="10:14">
      <c r="J46"/>
      <c r="K46"/>
      <c r="L46"/>
      <c r="M46"/>
      <c r="N46"/>
    </row>
    <row r="47" spans="10:14">
      <c r="J47"/>
      <c r="K47"/>
      <c r="L47"/>
      <c r="M47"/>
      <c r="N47"/>
    </row>
    <row r="48" spans="10:14">
      <c r="J48"/>
      <c r="K48"/>
      <c r="L48"/>
      <c r="M48"/>
      <c r="N48"/>
    </row>
    <row r="49" spans="10:14">
      <c r="J49"/>
      <c r="K49"/>
      <c r="L49"/>
      <c r="M49"/>
      <c r="N49"/>
    </row>
    <row r="50" spans="10:14">
      <c r="J50"/>
      <c r="K50"/>
      <c r="L50"/>
      <c r="M50"/>
      <c r="N50"/>
    </row>
    <row r="51" spans="10:14">
      <c r="J51"/>
      <c r="K51"/>
      <c r="L51"/>
      <c r="M51"/>
      <c r="N51"/>
    </row>
    <row r="52" spans="10:14">
      <c r="J52"/>
      <c r="K52"/>
      <c r="L52"/>
      <c r="M52"/>
      <c r="N52"/>
    </row>
    <row r="53" spans="10:14">
      <c r="J53"/>
      <c r="K53"/>
      <c r="L53"/>
      <c r="M53"/>
      <c r="N53"/>
    </row>
    <row r="54" spans="10:14">
      <c r="J54"/>
      <c r="K54"/>
      <c r="L54"/>
      <c r="M54"/>
      <c r="N54"/>
    </row>
    <row r="55" spans="10:14">
      <c r="J55"/>
      <c r="K55"/>
      <c r="L55"/>
      <c r="M55"/>
      <c r="N55"/>
    </row>
    <row r="56" spans="10:14">
      <c r="J56"/>
      <c r="K56"/>
      <c r="L56"/>
      <c r="M56"/>
      <c r="N56"/>
    </row>
    <row r="57" spans="10:14">
      <c r="J57"/>
      <c r="K57"/>
      <c r="L57"/>
      <c r="M57"/>
      <c r="N57"/>
    </row>
    <row r="58" spans="10:14">
      <c r="J58"/>
      <c r="K58"/>
      <c r="L58"/>
      <c r="M58"/>
      <c r="N58"/>
    </row>
    <row r="59" spans="10:14">
      <c r="J59"/>
      <c r="K59"/>
      <c r="L59"/>
      <c r="M59"/>
      <c r="N59"/>
    </row>
    <row r="60" spans="10:14">
      <c r="J60"/>
      <c r="K60"/>
      <c r="L60"/>
      <c r="M60"/>
      <c r="N60"/>
    </row>
    <row r="61" spans="10:14">
      <c r="J61"/>
      <c r="K61"/>
      <c r="L61"/>
      <c r="M61"/>
      <c r="N61"/>
    </row>
    <row r="62" spans="10:14">
      <c r="J62"/>
      <c r="K62"/>
      <c r="L62"/>
      <c r="M62"/>
      <c r="N62"/>
    </row>
    <row r="63" spans="10:14">
      <c r="J63"/>
      <c r="K63"/>
      <c r="L63"/>
      <c r="M63"/>
      <c r="N63"/>
    </row>
    <row r="64" spans="10:14">
      <c r="J64"/>
      <c r="K64"/>
      <c r="L64"/>
      <c r="M64"/>
      <c r="N64"/>
    </row>
    <row r="65" spans="10:14">
      <c r="J65"/>
      <c r="K65"/>
      <c r="L65"/>
      <c r="M65"/>
      <c r="N65"/>
    </row>
    <row r="66" spans="10:14">
      <c r="J66"/>
      <c r="K66"/>
      <c r="L66"/>
      <c r="M66"/>
      <c r="N66"/>
    </row>
    <row r="67" spans="10:14">
      <c r="J67"/>
      <c r="K67"/>
      <c r="L67"/>
      <c r="M67"/>
      <c r="N67"/>
    </row>
    <row r="68" spans="10:14">
      <c r="J68"/>
      <c r="K68"/>
      <c r="L68"/>
      <c r="M68"/>
      <c r="N68"/>
    </row>
    <row r="69" spans="10:14">
      <c r="J69"/>
      <c r="K69"/>
      <c r="L69"/>
      <c r="M69"/>
      <c r="N69"/>
    </row>
    <row r="70" spans="10:14">
      <c r="J70"/>
      <c r="K70"/>
      <c r="L70"/>
      <c r="M70"/>
      <c r="N70"/>
    </row>
    <row r="71" spans="10:14">
      <c r="J71"/>
      <c r="K71"/>
      <c r="L71"/>
      <c r="M71"/>
      <c r="N71"/>
    </row>
    <row r="72" spans="10:14">
      <c r="J72"/>
      <c r="K72"/>
      <c r="L72"/>
      <c r="M72"/>
      <c r="N72"/>
    </row>
    <row r="73" spans="10:14">
      <c r="J73"/>
      <c r="K73"/>
      <c r="L73"/>
      <c r="M73"/>
      <c r="N73"/>
    </row>
    <row r="74" spans="10:14">
      <c r="J74"/>
      <c r="K74"/>
      <c r="L74"/>
      <c r="M74"/>
      <c r="N74"/>
    </row>
    <row r="75" spans="10:14">
      <c r="J75"/>
      <c r="K75"/>
      <c r="L75"/>
      <c r="M75"/>
      <c r="N75"/>
    </row>
    <row r="76" spans="10:14">
      <c r="J76"/>
      <c r="K76"/>
      <c r="L76"/>
      <c r="M76"/>
    </row>
  </sheetData>
  <pageMargins left="0.7" right="0.7" top="0.75" bottom="0.75" header="0.3" footer="0.3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9E2FE-EB31-4E62-A7BE-C79364F5C725}">
  <sheetPr codeName="Planilha8"/>
  <dimension ref="A1:Q18"/>
  <sheetViews>
    <sheetView showGridLines="0" showRowColHeaders="0" workbookViewId="0">
      <selection activeCell="M12" sqref="M12"/>
    </sheetView>
  </sheetViews>
  <sheetFormatPr defaultRowHeight="14.5"/>
  <cols>
    <col min="1" max="1" width="3.1796875" customWidth="1"/>
    <col min="2" max="2" width="2.7265625" customWidth="1"/>
    <col min="3" max="3" width="11.54296875" bestFit="1" customWidth="1"/>
    <col min="4" max="4" width="2" customWidth="1"/>
    <col min="5" max="5" width="18" bestFit="1" customWidth="1"/>
    <col min="6" max="6" width="14.36328125" bestFit="1" customWidth="1"/>
    <col min="7" max="7" width="9.54296875" bestFit="1" customWidth="1"/>
    <col min="8" max="8" width="2.453125" customWidth="1"/>
    <col min="9" max="9" width="18" bestFit="1" customWidth="1"/>
    <col min="10" max="10" width="18.36328125" bestFit="1" customWidth="1"/>
    <col min="11" max="11" width="12.90625" bestFit="1" customWidth="1"/>
    <col min="12" max="12" width="5" customWidth="1"/>
    <col min="13" max="13" width="21.7265625" bestFit="1" customWidth="1"/>
    <col min="14" max="14" width="14.81640625" customWidth="1"/>
    <col min="15" max="15" width="14.36328125" bestFit="1" customWidth="1"/>
    <col min="16" max="16" width="16.08984375" bestFit="1" customWidth="1"/>
    <col min="17" max="17" width="2.54296875" customWidth="1"/>
  </cols>
  <sheetData>
    <row r="1" spans="1:17" ht="54" customHeight="1">
      <c r="A1" s="1"/>
      <c r="B1" s="10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38"/>
    </row>
    <row r="2" spans="1:17" ht="18.5">
      <c r="A2" s="1"/>
      <c r="B2" s="10"/>
      <c r="C2" s="106"/>
      <c r="D2" s="105"/>
      <c r="E2" s="107"/>
      <c r="F2" s="107"/>
      <c r="G2" s="107"/>
      <c r="H2" s="105"/>
      <c r="I2" s="107"/>
      <c r="J2" s="107"/>
      <c r="K2" s="107"/>
      <c r="L2" s="105"/>
      <c r="M2" s="107"/>
      <c r="N2" s="107"/>
      <c r="O2" s="107"/>
      <c r="P2" s="107"/>
      <c r="Q2" s="38"/>
    </row>
    <row r="3" spans="1:17" ht="18.5">
      <c r="A3" s="1"/>
      <c r="B3" s="10"/>
      <c r="C3" s="106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38"/>
    </row>
    <row r="4" spans="1:17">
      <c r="A4" s="1"/>
      <c r="B4" s="10"/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38"/>
    </row>
    <row r="5" spans="1:17">
      <c r="A5" s="1"/>
      <c r="B5" s="10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105"/>
      <c r="P5" s="105"/>
      <c r="Q5" s="38"/>
    </row>
    <row r="6" spans="1:17">
      <c r="A6" s="1"/>
      <c r="B6" s="10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38"/>
    </row>
    <row r="7" spans="1:17">
      <c r="A7" s="1"/>
      <c r="B7" s="10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38"/>
    </row>
    <row r="8" spans="1:17">
      <c r="A8" s="1"/>
      <c r="B8" s="10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38"/>
    </row>
    <row r="9" spans="1:17">
      <c r="A9" s="1"/>
      <c r="B9" s="10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38"/>
    </row>
    <row r="10" spans="1:17">
      <c r="A10" s="1"/>
      <c r="B10" s="10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38"/>
    </row>
    <row r="11" spans="1:17">
      <c r="A11" s="1"/>
      <c r="B11" s="10"/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38"/>
    </row>
    <row r="12" spans="1:17">
      <c r="A12" s="1"/>
      <c r="B12" s="10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38"/>
    </row>
    <row r="13" spans="1:17">
      <c r="A13" s="1"/>
      <c r="B13" s="10"/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5"/>
      <c r="Q13" s="38"/>
    </row>
    <row r="14" spans="1:17">
      <c r="A14" s="1"/>
      <c r="B14" s="10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38"/>
    </row>
    <row r="15" spans="1:17">
      <c r="A15" s="1"/>
      <c r="B15" s="10"/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38"/>
    </row>
    <row r="16" spans="1:17">
      <c r="A16" s="1"/>
      <c r="B16" s="10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38"/>
    </row>
    <row r="17" spans="1:17">
      <c r="A17" s="1"/>
      <c r="B17" s="10"/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38"/>
    </row>
    <row r="18" spans="1:17">
      <c r="A18" s="1"/>
      <c r="B18" s="10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38"/>
    </row>
  </sheetData>
  <mergeCells count="3">
    <mergeCell ref="E2:G2"/>
    <mergeCell ref="I2:K2"/>
    <mergeCell ref="M2:P2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7CF89-8D41-4602-BC45-004577D89E60}">
  <sheetPr codeName="Planilha5"/>
  <dimension ref="A1:N18"/>
  <sheetViews>
    <sheetView showGridLines="0" showRowColHeaders="0" zoomScaleNormal="100" workbookViewId="0">
      <selection activeCell="M12" sqref="M12"/>
    </sheetView>
  </sheetViews>
  <sheetFormatPr defaultRowHeight="14.5"/>
  <cols>
    <col min="1" max="1" width="3.1796875" customWidth="1"/>
    <col min="2" max="2" width="2.7265625" customWidth="1"/>
    <col min="3" max="3" width="9" customWidth="1"/>
    <col min="4" max="4" width="6.7265625" bestFit="1" customWidth="1"/>
    <col min="5" max="5" width="10" bestFit="1" customWidth="1"/>
    <col min="6" max="6" width="6.7265625" bestFit="1" customWidth="1"/>
    <col min="7" max="7" width="7.6328125" bestFit="1" customWidth="1"/>
    <col min="8" max="8" width="6.90625" bestFit="1" customWidth="1"/>
    <col min="9" max="9" width="6.6328125" customWidth="1"/>
    <col min="10" max="10" width="18.6328125" bestFit="1" customWidth="1"/>
    <col min="11" max="11" width="10.26953125" bestFit="1" customWidth="1"/>
    <col min="12" max="12" width="15.453125" bestFit="1" customWidth="1"/>
    <col min="13" max="13" width="11.453125" bestFit="1" customWidth="1"/>
    <col min="14" max="15" width="22" bestFit="1" customWidth="1"/>
    <col min="16" max="16" width="16.08984375" bestFit="1" customWidth="1"/>
    <col min="17" max="17" width="2.54296875" customWidth="1"/>
  </cols>
  <sheetData>
    <row r="1" spans="1:14" ht="54" customHeight="1">
      <c r="A1" s="1"/>
    </row>
    <row r="2" spans="1:14" ht="18.5">
      <c r="A2" s="1"/>
      <c r="C2" s="68"/>
      <c r="D2" s="68"/>
      <c r="E2" s="85" t="s">
        <v>96</v>
      </c>
      <c r="F2" s="85" t="s">
        <v>97</v>
      </c>
      <c r="G2" s="85" t="s">
        <v>8</v>
      </c>
      <c r="H2" s="85" t="s">
        <v>95</v>
      </c>
      <c r="J2" s="37" t="s">
        <v>5</v>
      </c>
      <c r="K2" s="37" t="s">
        <v>7</v>
      </c>
      <c r="L2" s="37" t="s">
        <v>13</v>
      </c>
      <c r="M2" s="37" t="s">
        <v>9</v>
      </c>
      <c r="N2" t="s">
        <v>98</v>
      </c>
    </row>
    <row r="3" spans="1:14">
      <c r="A3" s="1"/>
      <c r="E3" s="85" t="s">
        <v>35</v>
      </c>
      <c r="F3" s="85" t="s">
        <v>94</v>
      </c>
      <c r="G3" s="86">
        <v>360</v>
      </c>
      <c r="H3" s="86">
        <v>1</v>
      </c>
      <c r="J3" t="s">
        <v>20</v>
      </c>
      <c r="K3" t="s">
        <v>39</v>
      </c>
      <c r="L3" s="11">
        <v>44938</v>
      </c>
      <c r="M3">
        <v>6</v>
      </c>
      <c r="N3" s="69">
        <v>360</v>
      </c>
    </row>
    <row r="4" spans="1:14">
      <c r="A4" s="1"/>
      <c r="E4" s="87" t="s">
        <v>34</v>
      </c>
      <c r="F4" s="87"/>
      <c r="G4" s="88">
        <v>360</v>
      </c>
      <c r="H4" s="88">
        <v>1</v>
      </c>
      <c r="J4" t="s">
        <v>34</v>
      </c>
      <c r="N4" s="69">
        <v>360</v>
      </c>
    </row>
    <row r="5" spans="1:14">
      <c r="A5" s="1"/>
    </row>
    <row r="6" spans="1:14">
      <c r="A6" s="1"/>
    </row>
    <row r="7" spans="1:14">
      <c r="A7" s="1"/>
    </row>
    <row r="8" spans="1:14">
      <c r="A8" s="1"/>
    </row>
    <row r="9" spans="1:14">
      <c r="A9" s="1"/>
    </row>
    <row r="10" spans="1:14">
      <c r="A10" s="1"/>
    </row>
    <row r="11" spans="1:14">
      <c r="A11" s="1"/>
    </row>
    <row r="12" spans="1:14">
      <c r="A12" s="1"/>
    </row>
    <row r="13" spans="1:14">
      <c r="A13" s="1"/>
    </row>
    <row r="14" spans="1:14">
      <c r="A14" s="1"/>
    </row>
    <row r="15" spans="1:14">
      <c r="A15" s="1"/>
    </row>
    <row r="16" spans="1:14">
      <c r="A16" s="1"/>
    </row>
    <row r="17" spans="1:1">
      <c r="A17" s="1"/>
    </row>
    <row r="18" spans="1:1">
      <c r="A18" s="1"/>
    </row>
  </sheetData>
  <phoneticPr fontId="9" type="noConversion"/>
  <pageMargins left="0.7" right="0.7" top="0.75" bottom="0.75" header="0.3" footer="0.3"/>
  <pageSetup paperSize="9" scale="69" orientation="landscape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4591-F9D9-4F21-821E-5F9AAC110E57}">
  <sheetPr codeName="Planilha10"/>
  <dimension ref="A1:S29"/>
  <sheetViews>
    <sheetView showGridLines="0" showRowColHeaders="0" tabSelected="1" workbookViewId="0">
      <pane xSplit="19" ySplit="24" topLeftCell="T25" activePane="bottomRight" state="frozen"/>
      <selection pane="topRight" activeCell="T1" sqref="T1"/>
      <selection pane="bottomLeft" activeCell="A25" sqref="A25"/>
      <selection pane="bottomRight" activeCell="P3" sqref="P3"/>
    </sheetView>
  </sheetViews>
  <sheetFormatPr defaultRowHeight="14.5"/>
  <cols>
    <col min="1" max="1" width="5.453125" customWidth="1"/>
    <col min="19" max="19" width="4.1796875" customWidth="1"/>
  </cols>
  <sheetData>
    <row r="1" spans="1:19">
      <c r="A1" s="108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</row>
    <row r="2" spans="1:19" ht="15" thickBot="1">
      <c r="A2" s="108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8"/>
    </row>
    <row r="3" spans="1:19" ht="62" thickBot="1">
      <c r="A3" s="108"/>
      <c r="B3" s="109"/>
      <c r="C3" s="109"/>
      <c r="D3" s="109"/>
      <c r="E3" s="109"/>
      <c r="F3" s="109"/>
      <c r="G3" s="111" t="s">
        <v>103</v>
      </c>
      <c r="H3" s="112"/>
      <c r="I3" s="112"/>
      <c r="J3" s="112"/>
      <c r="K3" s="112"/>
      <c r="L3" s="112"/>
      <c r="M3" s="113"/>
      <c r="N3" s="109"/>
      <c r="O3" s="109"/>
      <c r="P3" s="109"/>
      <c r="Q3" s="109"/>
      <c r="R3" s="109"/>
      <c r="S3" s="108"/>
    </row>
    <row r="4" spans="1:19">
      <c r="A4" s="108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8"/>
    </row>
    <row r="5" spans="1:19">
      <c r="A5" s="108"/>
      <c r="B5" s="109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09"/>
      <c r="S5" s="108"/>
    </row>
    <row r="6" spans="1:19">
      <c r="A6" s="108"/>
      <c r="B6" s="109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09"/>
      <c r="S6" s="108"/>
    </row>
    <row r="7" spans="1:19">
      <c r="A7" s="108"/>
      <c r="B7" s="109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09"/>
      <c r="S7" s="108"/>
    </row>
    <row r="8" spans="1:19">
      <c r="A8" s="108"/>
      <c r="B8" s="109"/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09"/>
      <c r="S8" s="108"/>
    </row>
    <row r="9" spans="1:19">
      <c r="A9" s="108"/>
      <c r="B9" s="109"/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09"/>
      <c r="Q9" s="109"/>
      <c r="R9" s="109"/>
      <c r="S9" s="108"/>
    </row>
    <row r="10" spans="1:19">
      <c r="A10" s="108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09"/>
      <c r="O10" s="109"/>
      <c r="P10" s="109"/>
      <c r="Q10" s="109"/>
      <c r="R10" s="109"/>
      <c r="S10" s="108"/>
    </row>
    <row r="11" spans="1:19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09"/>
      <c r="R11" s="109"/>
      <c r="S11" s="108"/>
    </row>
    <row r="12" spans="1:19">
      <c r="A12" s="108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8"/>
    </row>
    <row r="13" spans="1:19">
      <c r="A13" s="108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8"/>
    </row>
    <row r="14" spans="1:19">
      <c r="A14" s="108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8"/>
    </row>
    <row r="15" spans="1:19">
      <c r="A15" s="108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8"/>
    </row>
    <row r="16" spans="1:19">
      <c r="A16" s="108"/>
      <c r="B16" s="109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8"/>
    </row>
    <row r="17" spans="1:19">
      <c r="A17" s="108"/>
      <c r="B17" s="10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8"/>
    </row>
    <row r="18" spans="1:19">
      <c r="A18" s="108"/>
      <c r="B18" s="109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8"/>
    </row>
    <row r="19" spans="1:19">
      <c r="A19" s="108"/>
      <c r="B19" s="10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8"/>
    </row>
    <row r="20" spans="1:19">
      <c r="A20" s="108"/>
      <c r="B20" s="109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8"/>
    </row>
    <row r="21" spans="1:19">
      <c r="A21" s="108"/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8"/>
    </row>
    <row r="22" spans="1:19">
      <c r="A22" s="108"/>
      <c r="B22" s="109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8"/>
    </row>
    <row r="23" spans="1:19">
      <c r="A23" s="108"/>
      <c r="B23" s="109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8"/>
    </row>
    <row r="24" spans="1:19">
      <c r="A24" s="108"/>
      <c r="B24" s="109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8"/>
    </row>
    <row r="25" spans="1:19">
      <c r="A25" s="108"/>
      <c r="B25" s="10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8"/>
    </row>
    <row r="26" spans="1:19">
      <c r="A26" s="108"/>
      <c r="B26" s="109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8"/>
    </row>
    <row r="27" spans="1:19">
      <c r="A27" s="108"/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8"/>
    </row>
    <row r="28" spans="1:19">
      <c r="A28" s="108"/>
      <c r="B28" s="10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8"/>
    </row>
    <row r="29" spans="1:19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</sheetData>
  <mergeCells count="1">
    <mergeCell ref="G3:M3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DADOS CLIENTES</vt:lpstr>
      <vt:lpstr>DADOS FUNCIONÁRIOS</vt:lpstr>
      <vt:lpstr>SERVIÇOS</vt:lpstr>
      <vt:lpstr>DADOS VENDAS</vt:lpstr>
      <vt:lpstr>COMISSÕES</vt:lpstr>
      <vt:lpstr>RESUMOS PAGAMENTOS</vt:lpstr>
      <vt:lpstr>RESUMOS COMISSÕES</vt:lpstr>
      <vt:lpstr>RESUMO SERVICOS</vt:lpstr>
      <vt:lpstr>MENU</vt:lpstr>
      <vt:lpstr>'RESUMO SERVICOS'!Area_de_impressao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</dc:creator>
  <cp:lastModifiedBy>Luana</cp:lastModifiedBy>
  <dcterms:created xsi:type="dcterms:W3CDTF">2015-06-05T18:19:34Z</dcterms:created>
  <dcterms:modified xsi:type="dcterms:W3CDTF">2023-06-25T21:33:39Z</dcterms:modified>
</cp:coreProperties>
</file>