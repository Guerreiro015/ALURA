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ntonio.neto\Documents\GitHub\ALURA\"/>
    </mc:Choice>
  </mc:AlternateContent>
  <xr:revisionPtr revIDLastSave="0" documentId="13_ncr:1_{5686F11A-2FA8-48CF-8B34-8AB4F6B63CB0}" xr6:coauthVersionLast="47" xr6:coauthVersionMax="47" xr10:uidLastSave="{00000000-0000-0000-0000-000000000000}"/>
  <bookViews>
    <workbookView xWindow="-120" yWindow="-120" windowWidth="29040" windowHeight="15840" tabRatio="795" activeTab="3" xr2:uid="{00000000-000D-0000-FFFF-FFFF00000000}"/>
  </bookViews>
  <sheets>
    <sheet name="MENU" sheetId="10" r:id="rId1"/>
    <sheet name="DADOS CLIENTES" sheetId="4" r:id="rId2"/>
    <sheet name="DADOS FUNCIONÁRIOS" sheetId="6" r:id="rId3"/>
    <sheet name="SERVIÇOS" sheetId="2" r:id="rId4"/>
    <sheet name="DADOS VENDAS" sheetId="3" r:id="rId5"/>
    <sheet name="COMISSÕES" sheetId="7" r:id="rId6"/>
    <sheet name="RESUMOS PAGAMENTOS" sheetId="8" r:id="rId7"/>
    <sheet name="RESUMOS COMISSÕES" sheetId="9" r:id="rId8"/>
    <sheet name="RESUMO SERVICOS" sheetId="5" r:id="rId9"/>
  </sheets>
  <definedNames>
    <definedName name="_xlnm._FilterDatabase" localSheetId="4" hidden="1">'DADOS VENDAS'!$A$1:$M$1</definedName>
    <definedName name="_xlnm._FilterDatabase" localSheetId="0" hidden="1">MENU!#REF!</definedName>
    <definedName name="_xlnm._FilterDatabase" localSheetId="8" hidden="1">'RESUMO SERVICOS'!#REF!</definedName>
    <definedName name="_xlnm._FilterDatabase" localSheetId="7" hidden="1">'RESUMOS COMISSÕES'!#REF!</definedName>
    <definedName name="_xlnm._FilterDatabase" localSheetId="6" hidden="1">'RESUMOS PAGAMENTOS'!#REF!</definedName>
    <definedName name="_xlnm.Print_Area" localSheetId="8">'RESUMO SERVICOS'!$A$1:$N$18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2" l="1"/>
  <c r="L4" i="2"/>
  <c r="F10" i="2" s="1"/>
  <c r="Q2" i="10"/>
  <c r="C8" i="2"/>
  <c r="F4" i="7"/>
  <c r="G4" i="7"/>
  <c r="G3" i="7"/>
  <c r="F3" i="7"/>
  <c r="G2" i="7"/>
  <c r="F2" i="7"/>
  <c r="F12" i="2"/>
  <c r="C14" i="2"/>
  <c r="C12" i="2"/>
  <c r="C10" i="2"/>
  <c r="C6" i="2"/>
  <c r="I11" i="2" l="1"/>
  <c r="L11" i="2" l="1"/>
  <c r="L12" i="2"/>
  <c r="I10" i="2"/>
  <c r="L7" i="2"/>
  <c r="I12" i="2"/>
  <c r="L10" i="2"/>
  <c r="L9" i="2"/>
  <c r="L8" i="2"/>
  <c r="I8" i="2"/>
  <c r="I9" i="2"/>
  <c r="I7" i="2"/>
  <c r="H8" i="2" l="1"/>
  <c r="H9" i="2" s="1"/>
  <c r="H10" i="2" s="1"/>
  <c r="H11" i="2" s="1"/>
  <c r="H12" i="2" s="1"/>
  <c r="K7" i="2" s="1"/>
  <c r="K8" i="2" s="1"/>
  <c r="K9" i="2" s="1"/>
  <c r="K10" i="2" s="1"/>
  <c r="K11" i="2" s="1"/>
  <c r="K12" i="2" s="1"/>
</calcChain>
</file>

<file path=xl/sharedStrings.xml><?xml version="1.0" encoding="utf-8"?>
<sst xmlns="http://schemas.openxmlformats.org/spreadsheetml/2006/main" count="163" uniqueCount="86">
  <si>
    <t xml:space="preserve">NOME: </t>
  </si>
  <si>
    <t>CPF</t>
  </si>
  <si>
    <t>TELEFONE</t>
  </si>
  <si>
    <t>E-MAIL</t>
  </si>
  <si>
    <t>CLIENTE</t>
  </si>
  <si>
    <t>NOME</t>
  </si>
  <si>
    <t>SERVIÇO</t>
  </si>
  <si>
    <t>PARCELAS</t>
  </si>
  <si>
    <t>PARCELAMENTO</t>
  </si>
  <si>
    <t>VALOR PARCELA</t>
  </si>
  <si>
    <t>Valor da Parcela</t>
  </si>
  <si>
    <t>DATA SERVIÇO</t>
  </si>
  <si>
    <t>DATA PAGAMENTO</t>
  </si>
  <si>
    <t>SICRANO DA SILVA</t>
  </si>
  <si>
    <t>JOAO NINGUEM</t>
  </si>
  <si>
    <t>DESDE</t>
  </si>
  <si>
    <t>DATA CADASTRO</t>
  </si>
  <si>
    <t>31/02/2021</t>
  </si>
  <si>
    <t>Data do Serviço</t>
  </si>
  <si>
    <t>Num. De Parcelas</t>
  </si>
  <si>
    <t>MÊS SERVIÇO</t>
  </si>
  <si>
    <t>ANO SERVIÇO</t>
  </si>
  <si>
    <t>MÊS PAGAMENTO</t>
  </si>
  <si>
    <t>ANO PAGAMENTO</t>
  </si>
  <si>
    <t>VALOR SERVIÇO</t>
  </si>
  <si>
    <t>ZE DO POVO</t>
  </si>
  <si>
    <t>COMISSÃO</t>
  </si>
  <si>
    <t>Adriane de Carvalho Gomes</t>
  </si>
  <si>
    <t>RH</t>
  </si>
  <si>
    <t>Alon Pinheiro</t>
  </si>
  <si>
    <t>Compras</t>
  </si>
  <si>
    <t>Andressa Rotsztejn</t>
  </si>
  <si>
    <t>Marketing</t>
  </si>
  <si>
    <t>Beatriz Leite Júnior</t>
  </si>
  <si>
    <t>Administrativo</t>
  </si>
  <si>
    <t>Bruna dos Santos Gomes</t>
  </si>
  <si>
    <t>Carolina Codeceira</t>
  </si>
  <si>
    <t>Daniela Muller Braga</t>
  </si>
  <si>
    <t>Logística</t>
  </si>
  <si>
    <t>Elvis de Freitas Derossi</t>
  </si>
  <si>
    <t>Gabrielle Andrade da Silva</t>
  </si>
  <si>
    <t xml:space="preserve">Gustavo de Vasconcelos </t>
  </si>
  <si>
    <t>Isabella Ronfini</t>
  </si>
  <si>
    <t>Juan Fernandes</t>
  </si>
  <si>
    <t>Júlio Fraga</t>
  </si>
  <si>
    <t>Leticia Mesquita</t>
  </si>
  <si>
    <t>Marcela de Freitas</t>
  </si>
  <si>
    <t>Financeiro</t>
  </si>
  <si>
    <t>Marianna Pestana</t>
  </si>
  <si>
    <t xml:space="preserve">Matheus de Souza  </t>
  </si>
  <si>
    <t>Pedro Costa</t>
  </si>
  <si>
    <t>Rafael Machado Cardoso</t>
  </si>
  <si>
    <t>Renan Freire</t>
  </si>
  <si>
    <t>Thaís Ribeiro</t>
  </si>
  <si>
    <t>Victor Ruzza de Carvalho</t>
  </si>
  <si>
    <t>Yuri Araujo Senna</t>
  </si>
  <si>
    <t>Nome</t>
  </si>
  <si>
    <t>CARGO</t>
  </si>
  <si>
    <t>EMAIL</t>
  </si>
  <si>
    <t xml:space="preserve">Diego </t>
  </si>
  <si>
    <t>22222@minhaempresa.com</t>
  </si>
  <si>
    <t>33333@minhaempresa.com</t>
  </si>
  <si>
    <t>1122334445@minhaempresa.com</t>
  </si>
  <si>
    <t>RH@minhaempresa.com</t>
  </si>
  <si>
    <t>Compras@minhaempresa.com</t>
  </si>
  <si>
    <t>Marketing@minhaempresa.com</t>
  </si>
  <si>
    <t>Administrativo@minhaempresa.com</t>
  </si>
  <si>
    <t>Logística@minhaempresa.com</t>
  </si>
  <si>
    <t>Financeiro@minhaempresa.com</t>
  </si>
  <si>
    <t>Admissão</t>
  </si>
  <si>
    <t>Menina das Flores</t>
  </si>
  <si>
    <t>234.778.766-00</t>
  </si>
  <si>
    <t>adm</t>
  </si>
  <si>
    <t>menina@flores</t>
  </si>
  <si>
    <t>Atendente</t>
  </si>
  <si>
    <t>Comissão</t>
  </si>
  <si>
    <t>Valor do Serviço</t>
  </si>
  <si>
    <t>N_PARCELA</t>
  </si>
  <si>
    <t>DANI</t>
  </si>
  <si>
    <t>Menu Principal</t>
  </si>
  <si>
    <t>Merenda</t>
  </si>
  <si>
    <t>Antonio Neto</t>
  </si>
  <si>
    <t>346.456.546-00</t>
  </si>
  <si>
    <t>PRODUTOR</t>
  </si>
  <si>
    <t>ANTONIO@PRODUTOR</t>
  </si>
  <si>
    <t>ATENDENTE: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</si>
</sst>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&quot;.&quot;000&quot;.&quot;000\-00\ 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10"/>
      <color rgb="FFDDDDDD"/>
      <name val="Arial Unicode MS"/>
    </font>
    <font>
      <b/>
      <sz val="10"/>
      <color rgb="FFF92672"/>
      <name val="Arial Unicode MS"/>
    </font>
    <font>
      <sz val="48"/>
      <color rgb="FFC00000"/>
      <name val="Calibri"/>
      <family val="2"/>
      <scheme val="minor"/>
    </font>
    <font>
      <sz val="14"/>
      <color theme="1"/>
      <name val="Franklin Gothic Demi Cond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/>
      <right/>
      <top style="medium">
        <color theme="0" tint="-0.499984740745262"/>
      </top>
      <bottom style="medium">
        <color theme="0" tint="-0.24994659260841701"/>
      </bottom>
      <diagonal/>
    </border>
    <border>
      <left/>
      <right style="medium">
        <color theme="0" tint="-0.24994659260841701"/>
      </right>
      <top style="medium">
        <color theme="0" tint="-0.499984740745262"/>
      </top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1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0" xfId="0" applyFont="1" applyFill="1" applyAlignment="1">
      <alignment horizontal="right" vertical="center"/>
    </xf>
    <xf numFmtId="0" fontId="2" fillId="0" borderId="0" xfId="2"/>
    <xf numFmtId="0" fontId="0" fillId="3" borderId="0" xfId="0" applyFill="1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3" fillId="3" borderId="7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44" fontId="5" fillId="4" borderId="10" xfId="1" applyFont="1" applyFill="1" applyBorder="1" applyAlignment="1">
      <alignment horizontal="center" vertical="center"/>
    </xf>
    <xf numFmtId="44" fontId="5" fillId="4" borderId="7" xfId="1" applyFont="1" applyFill="1" applyBorder="1" applyAlignment="1">
      <alignment horizontal="center" vertical="center"/>
    </xf>
    <xf numFmtId="44" fontId="5" fillId="4" borderId="13" xfId="1" applyFont="1" applyFill="1" applyBorder="1" applyAlignment="1">
      <alignment horizontal="center" vertical="center"/>
    </xf>
    <xf numFmtId="44" fontId="5" fillId="4" borderId="11" xfId="1" applyFont="1" applyFill="1" applyBorder="1" applyAlignment="1">
      <alignment horizontal="center" vertical="center"/>
    </xf>
    <xf numFmtId="44" fontId="5" fillId="4" borderId="12" xfId="1" applyFont="1" applyFill="1" applyBorder="1" applyAlignment="1">
      <alignment horizontal="center" vertical="center"/>
    </xf>
    <xf numFmtId="44" fontId="5" fillId="4" borderId="14" xfId="1" applyFont="1" applyFill="1" applyBorder="1" applyAlignment="1">
      <alignment horizontal="center" vertical="center"/>
    </xf>
    <xf numFmtId="14" fontId="6" fillId="3" borderId="10" xfId="0" applyNumberFormat="1" applyFont="1" applyFill="1" applyBorder="1" applyAlignment="1">
      <alignment horizontal="center" vertical="center"/>
    </xf>
    <xf numFmtId="14" fontId="6" fillId="3" borderId="7" xfId="0" applyNumberFormat="1" applyFont="1" applyFill="1" applyBorder="1" applyAlignment="1">
      <alignment horizontal="center" vertical="center"/>
    </xf>
    <xf numFmtId="14" fontId="6" fillId="3" borderId="13" xfId="0" applyNumberFormat="1" applyFont="1" applyFill="1" applyBorder="1" applyAlignment="1">
      <alignment horizontal="center" vertical="center"/>
    </xf>
    <xf numFmtId="43" fontId="0" fillId="0" borderId="0" xfId="3" applyFont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8" borderId="0" xfId="0" applyFill="1"/>
    <xf numFmtId="0" fontId="0" fillId="0" borderId="0" xfId="0" applyAlignment="1">
      <alignment horizontal="center"/>
    </xf>
    <xf numFmtId="0" fontId="0" fillId="7" borderId="0" xfId="0" applyFill="1"/>
    <xf numFmtId="43" fontId="0" fillId="7" borderId="0" xfId="3" applyFont="1" applyFill="1" applyBorder="1"/>
    <xf numFmtId="0" fontId="0" fillId="0" borderId="7" xfId="0" applyBorder="1"/>
    <xf numFmtId="164" fontId="0" fillId="0" borderId="7" xfId="0" applyNumberFormat="1" applyBorder="1"/>
    <xf numFmtId="0" fontId="10" fillId="0" borderId="19" xfId="0" applyFont="1" applyBorder="1" applyAlignment="1">
      <alignment horizontal="center"/>
    </xf>
    <xf numFmtId="0" fontId="0" fillId="0" borderId="21" xfId="0" applyBorder="1"/>
    <xf numFmtId="0" fontId="0" fillId="0" borderId="23" xfId="0" applyBorder="1"/>
    <xf numFmtId="0" fontId="0" fillId="0" borderId="24" xfId="0" applyBorder="1"/>
    <xf numFmtId="164" fontId="0" fillId="0" borderId="24" xfId="0" applyNumberFormat="1" applyBorder="1"/>
    <xf numFmtId="0" fontId="10" fillId="0" borderId="7" xfId="0" applyFont="1" applyBorder="1" applyAlignment="1">
      <alignment horizontal="center"/>
    </xf>
    <xf numFmtId="9" fontId="0" fillId="0" borderId="0" xfId="0" applyNumberFormat="1"/>
    <xf numFmtId="0" fontId="0" fillId="9" borderId="0" xfId="0" applyFill="1"/>
    <xf numFmtId="0" fontId="0" fillId="9" borderId="21" xfId="0" applyFill="1" applyBorder="1"/>
    <xf numFmtId="0" fontId="0" fillId="9" borderId="7" xfId="0" applyFill="1" applyBorder="1"/>
    <xf numFmtId="14" fontId="0" fillId="9" borderId="22" xfId="0" applyNumberFormat="1" applyFill="1" applyBorder="1" applyAlignment="1">
      <alignment horizontal="center"/>
    </xf>
    <xf numFmtId="164" fontId="0" fillId="9" borderId="7" xfId="0" applyNumberFormat="1" applyFill="1" applyBorder="1"/>
    <xf numFmtId="0" fontId="0" fillId="9" borderId="23" xfId="0" applyFill="1" applyBorder="1"/>
    <xf numFmtId="164" fontId="0" fillId="9" borderId="24" xfId="0" applyNumberFormat="1" applyFill="1" applyBorder="1"/>
    <xf numFmtId="0" fontId="0" fillId="9" borderId="24" xfId="0" applyFill="1" applyBorder="1"/>
    <xf numFmtId="14" fontId="0" fillId="9" borderId="25" xfId="0" applyNumberForma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10" fillId="10" borderId="18" xfId="0" applyFont="1" applyFill="1" applyBorder="1" applyAlignment="1">
      <alignment horizontal="center"/>
    </xf>
    <xf numFmtId="0" fontId="10" fillId="10" borderId="19" xfId="0" applyFont="1" applyFill="1" applyBorder="1" applyAlignment="1">
      <alignment horizontal="center"/>
    </xf>
    <xf numFmtId="0" fontId="10" fillId="10" borderId="20" xfId="0" applyFont="1" applyFill="1" applyBorder="1" applyAlignment="1">
      <alignment horizontal="center"/>
    </xf>
    <xf numFmtId="0" fontId="0" fillId="10" borderId="0" xfId="0" applyFill="1"/>
    <xf numFmtId="0" fontId="9" fillId="0" borderId="0" xfId="0" applyFont="1" applyAlignment="1">
      <alignment horizontal="center"/>
    </xf>
    <xf numFmtId="0" fontId="9" fillId="0" borderId="0" xfId="0" applyFont="1"/>
    <xf numFmtId="0" fontId="12" fillId="0" borderId="0" xfId="0" applyFont="1" applyAlignment="1">
      <alignment horizontal="center" vertical="center"/>
    </xf>
    <xf numFmtId="0" fontId="12" fillId="0" borderId="0" xfId="0" applyFont="1"/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4" fillId="9" borderId="0" xfId="0" applyFont="1" applyFill="1" applyAlignment="1">
      <alignment horizontal="left" vertical="center" indent="1"/>
    </xf>
    <xf numFmtId="0" fontId="0" fillId="9" borderId="0" xfId="0" applyFill="1" applyAlignment="1">
      <alignment horizontal="left" vertical="center" indent="1"/>
    </xf>
    <xf numFmtId="0" fontId="0" fillId="11" borderId="0" xfId="0" applyFill="1"/>
    <xf numFmtId="0" fontId="9" fillId="11" borderId="0" xfId="0" applyFont="1" applyFill="1" applyAlignment="1">
      <alignment horizontal="center"/>
    </xf>
    <xf numFmtId="0" fontId="0" fillId="12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14" fontId="17" fillId="13" borderId="27" xfId="0" applyNumberFormat="1" applyFont="1" applyFill="1" applyBorder="1"/>
    <xf numFmtId="14" fontId="0" fillId="7" borderId="16" xfId="0" applyNumberFormat="1" applyFill="1" applyBorder="1"/>
    <xf numFmtId="9" fontId="0" fillId="6" borderId="7" xfId="4" applyFont="1" applyFill="1" applyBorder="1" applyAlignment="1">
      <alignment horizontal="left" vertical="center"/>
    </xf>
    <xf numFmtId="0" fontId="3" fillId="3" borderId="29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0" fillId="4" borderId="31" xfId="0" applyFill="1" applyBorder="1" applyAlignment="1">
      <alignment horizontal="left" vertical="center"/>
    </xf>
    <xf numFmtId="14" fontId="0" fillId="4" borderId="32" xfId="0" applyNumberFormat="1" applyFill="1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44" fontId="7" fillId="4" borderId="32" xfId="1" applyFont="1" applyFill="1" applyBorder="1" applyAlignment="1">
      <alignment horizontal="left" vertical="center"/>
    </xf>
    <xf numFmtId="44" fontId="11" fillId="0" borderId="32" xfId="0" applyNumberFormat="1" applyFont="1" applyBorder="1" applyAlignment="1">
      <alignment horizontal="left" vertical="center"/>
    </xf>
    <xf numFmtId="0" fontId="0" fillId="4" borderId="32" xfId="0" applyFill="1" applyBorder="1" applyAlignment="1">
      <alignment horizontal="center" vertical="center"/>
    </xf>
    <xf numFmtId="44" fontId="7" fillId="4" borderId="33" xfId="1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14" fontId="0" fillId="6" borderId="4" xfId="0" applyNumberFormat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164" fontId="0" fillId="6" borderId="26" xfId="0" applyNumberFormat="1" applyFill="1" applyBorder="1" applyAlignment="1">
      <alignment horizontal="left" vertical="center"/>
    </xf>
    <xf numFmtId="0" fontId="16" fillId="6" borderId="1" xfId="0" applyFont="1" applyFill="1" applyBorder="1" applyAlignment="1">
      <alignment horizontal="center"/>
    </xf>
    <xf numFmtId="0" fontId="16" fillId="6" borderId="2" xfId="0" applyFont="1" applyFill="1" applyBorder="1" applyAlignment="1">
      <alignment horizontal="center"/>
    </xf>
    <xf numFmtId="0" fontId="16" fillId="6" borderId="3" xfId="0" applyFont="1" applyFill="1" applyBorder="1" applyAlignment="1">
      <alignment horizontal="center"/>
    </xf>
    <xf numFmtId="0" fontId="0" fillId="6" borderId="4" xfId="0" applyFill="1" applyBorder="1" applyAlignment="1">
      <alignment horizontal="left" vertical="center"/>
    </xf>
    <xf numFmtId="0" fontId="0" fillId="6" borderId="5" xfId="0" applyFill="1" applyBorder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6" borderId="22" xfId="0" applyFill="1" applyBorder="1" applyAlignment="1">
      <alignment horizontal="left" vertical="center"/>
    </xf>
    <xf numFmtId="0" fontId="0" fillId="6" borderId="28" xfId="0" applyFill="1" applyBorder="1" applyAlignment="1">
      <alignment horizontal="left" vertical="center"/>
    </xf>
    <xf numFmtId="0" fontId="0" fillId="6" borderId="21" xfId="0" applyFill="1" applyBorder="1" applyAlignment="1">
      <alignment horizontal="left" vertical="center"/>
    </xf>
    <xf numFmtId="0" fontId="9" fillId="11" borderId="0" xfId="0" applyFont="1" applyFill="1" applyAlignment="1">
      <alignment horizontal="center"/>
    </xf>
    <xf numFmtId="0" fontId="0" fillId="7" borderId="0" xfId="0" applyFill="1" applyBorder="1"/>
    <xf numFmtId="14" fontId="0" fillId="7" borderId="0" xfId="0" applyNumberFormat="1" applyFill="1" applyBorder="1"/>
  </cellXfs>
  <cellStyles count="5">
    <cellStyle name="Hiperlink" xfId="2" builtinId="8"/>
    <cellStyle name="Moeda" xfId="1" builtinId="4"/>
    <cellStyle name="Normal" xfId="0" builtinId="0"/>
    <cellStyle name="Porcentagem" xfId="4" builtinId="5"/>
    <cellStyle name="Vírgula" xfId="3" builtinId="3"/>
  </cellStyles>
  <dxfs count="21"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ela 1" pivot="0" count="0" xr9:uid="{40C80014-AE60-407B-84C2-5DD93F2CBE53}"/>
  </tableStyles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ERVI&#199;OS!A1"/><Relationship Id="rId2" Type="http://schemas.openxmlformats.org/officeDocument/2006/relationships/hyperlink" Target="#'DADOS FUNCION&#193;RIOS'!A1"/><Relationship Id="rId1" Type="http://schemas.openxmlformats.org/officeDocument/2006/relationships/hyperlink" Target="#'DADOS CLIENTES'!A1"/><Relationship Id="rId6" Type="http://schemas.openxmlformats.org/officeDocument/2006/relationships/hyperlink" Target="#'RESUMOS COMISS&#213;ES'!A1"/><Relationship Id="rId5" Type="http://schemas.openxmlformats.org/officeDocument/2006/relationships/hyperlink" Target="#'RESUMOS PAGAMENTOS'!A1"/><Relationship Id="rId4" Type="http://schemas.openxmlformats.org/officeDocument/2006/relationships/hyperlink" Target="#'RESUMO SERVICO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4</xdr:row>
      <xdr:rowOff>31750</xdr:rowOff>
    </xdr:from>
    <xdr:to>
      <xdr:col>8</xdr:col>
      <xdr:colOff>140500</xdr:colOff>
      <xdr:row>8</xdr:row>
      <xdr:rowOff>51150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C197F3-2554-0F4D-24C5-2B4CEA3B1F60}"/>
            </a:ext>
          </a:extLst>
        </xdr:cNvPr>
        <xdr:cNvSpPr/>
      </xdr:nvSpPr>
      <xdr:spPr>
        <a:xfrm>
          <a:off x="3060700" y="946150"/>
          <a:ext cx="1728000" cy="756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Clientes</a:t>
          </a:r>
        </a:p>
      </xdr:txBody>
    </xdr:sp>
    <xdr:clientData/>
  </xdr:twoCellAnchor>
  <xdr:twoCellAnchor>
    <xdr:from>
      <xdr:col>8</xdr:col>
      <xdr:colOff>479425</xdr:colOff>
      <xdr:row>4</xdr:row>
      <xdr:rowOff>31750</xdr:rowOff>
    </xdr:from>
    <xdr:to>
      <xdr:col>11</xdr:col>
      <xdr:colOff>378625</xdr:colOff>
      <xdr:row>8</xdr:row>
      <xdr:rowOff>51150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2BADBA-4B0A-4FFB-954E-32300B6ED8AA}"/>
            </a:ext>
          </a:extLst>
        </xdr:cNvPr>
        <xdr:cNvSpPr/>
      </xdr:nvSpPr>
      <xdr:spPr>
        <a:xfrm>
          <a:off x="5127625" y="946150"/>
          <a:ext cx="1728000" cy="756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/>
  </xdr:twoCellAnchor>
  <xdr:twoCellAnchor>
    <xdr:from>
      <xdr:col>12</xdr:col>
      <xdr:colOff>107950</xdr:colOff>
      <xdr:row>4</xdr:row>
      <xdr:rowOff>31750</xdr:rowOff>
    </xdr:from>
    <xdr:to>
      <xdr:col>15</xdr:col>
      <xdr:colOff>7150</xdr:colOff>
      <xdr:row>8</xdr:row>
      <xdr:rowOff>51150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DA38F5-39A7-482A-8FEC-6614FC5E0E9B}"/>
            </a:ext>
          </a:extLst>
        </xdr:cNvPr>
        <xdr:cNvSpPr/>
      </xdr:nvSpPr>
      <xdr:spPr>
        <a:xfrm>
          <a:off x="7194550" y="946150"/>
          <a:ext cx="1728000" cy="756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Serviços</a:t>
          </a:r>
        </a:p>
      </xdr:txBody>
    </xdr:sp>
    <xdr:clientData/>
  </xdr:twoCellAnchor>
  <xdr:twoCellAnchor>
    <xdr:from>
      <xdr:col>5</xdr:col>
      <xdr:colOff>241300</xdr:colOff>
      <xdr:row>11</xdr:row>
      <xdr:rowOff>6175</xdr:rowOff>
    </xdr:from>
    <xdr:to>
      <xdr:col>8</xdr:col>
      <xdr:colOff>140500</xdr:colOff>
      <xdr:row>15</xdr:row>
      <xdr:rowOff>25575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00B713E-9800-40B5-8C55-C260E98FDA50}"/>
            </a:ext>
          </a:extLst>
        </xdr:cNvPr>
        <xdr:cNvSpPr/>
      </xdr:nvSpPr>
      <xdr:spPr>
        <a:xfrm>
          <a:off x="3060700" y="2209625"/>
          <a:ext cx="1728000" cy="756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Resumo</a:t>
          </a:r>
          <a:r>
            <a:rPr lang="pt-BR" sz="1800" baseline="0"/>
            <a:t> Serviçoes</a:t>
          </a:r>
          <a:endParaRPr lang="pt-BR" sz="1800"/>
        </a:p>
      </xdr:txBody>
    </xdr:sp>
    <xdr:clientData/>
  </xdr:twoCellAnchor>
  <xdr:twoCellAnchor>
    <xdr:from>
      <xdr:col>8</xdr:col>
      <xdr:colOff>475850</xdr:colOff>
      <xdr:row>11</xdr:row>
      <xdr:rowOff>6175</xdr:rowOff>
    </xdr:from>
    <xdr:to>
      <xdr:col>11</xdr:col>
      <xdr:colOff>375050</xdr:colOff>
      <xdr:row>15</xdr:row>
      <xdr:rowOff>25575</xdr:rowOff>
    </xdr:to>
    <xdr:sp macro="" textlink="">
      <xdr:nvSpPr>
        <xdr:cNvPr id="13" name="Retângulo: Cantos Arredondado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AA725F-89C4-439F-9DAB-9AB2DEC1DD14}"/>
            </a:ext>
          </a:extLst>
        </xdr:cNvPr>
        <xdr:cNvSpPr/>
      </xdr:nvSpPr>
      <xdr:spPr>
        <a:xfrm>
          <a:off x="5124050" y="2209625"/>
          <a:ext cx="1728000" cy="756000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Resumo Pagamentos</a:t>
          </a:r>
        </a:p>
      </xdr:txBody>
    </xdr:sp>
    <xdr:clientData/>
  </xdr:twoCellAnchor>
  <xdr:twoCellAnchor>
    <xdr:from>
      <xdr:col>12</xdr:col>
      <xdr:colOff>100800</xdr:colOff>
      <xdr:row>11</xdr:row>
      <xdr:rowOff>0</xdr:rowOff>
    </xdr:from>
    <xdr:to>
      <xdr:col>15</xdr:col>
      <xdr:colOff>0</xdr:colOff>
      <xdr:row>15</xdr:row>
      <xdr:rowOff>19400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64C048-95C3-4375-B05E-F63499F0F5FF}"/>
            </a:ext>
          </a:extLst>
        </xdr:cNvPr>
        <xdr:cNvSpPr/>
      </xdr:nvSpPr>
      <xdr:spPr>
        <a:xfrm>
          <a:off x="7187400" y="2216150"/>
          <a:ext cx="1728000" cy="756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Resumo</a:t>
          </a:r>
          <a:r>
            <a:rPr lang="pt-BR" sz="1800" baseline="0">
              <a:solidFill>
                <a:schemeClr val="bg1">
                  <a:lumMod val="95000"/>
                </a:schemeClr>
              </a:solidFill>
            </a:rPr>
            <a:t> comissões</a:t>
          </a:r>
          <a:endParaRPr lang="pt-BR" sz="18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2</xdr:row>
      <xdr:rowOff>0</xdr:rowOff>
    </xdr:from>
    <xdr:to>
      <xdr:col>7</xdr:col>
      <xdr:colOff>0</xdr:colOff>
      <xdr:row>6</xdr:row>
      <xdr:rowOff>0</xdr:rowOff>
    </xdr:to>
    <xdr:sp macro="[0]!CADASTRO_CLIENTES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85EA433-03A4-D048-30EE-FA0A25BF20D0}"/>
            </a:ext>
          </a:extLst>
        </xdr:cNvPr>
        <xdr:cNvSpPr/>
      </xdr:nvSpPr>
      <xdr:spPr>
        <a:xfrm>
          <a:off x="8350250" y="368300"/>
          <a:ext cx="1454150" cy="7366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CADASTRO</a:t>
          </a:r>
          <a:r>
            <a:rPr lang="pt-BR" sz="1200" b="1" baseline="0"/>
            <a:t> </a:t>
          </a:r>
        </a:p>
        <a:p>
          <a:pPr algn="ctr"/>
          <a:r>
            <a:rPr lang="pt-BR" sz="1200" b="1" baseline="0"/>
            <a:t>DE </a:t>
          </a:r>
        </a:p>
        <a:p>
          <a:pPr algn="ctr"/>
          <a:r>
            <a:rPr lang="pt-BR" sz="1200" b="1" baseline="0"/>
            <a:t>CLIENTES</a:t>
          </a:r>
          <a:endParaRPr lang="pt-BR" sz="1200" b="1"/>
        </a:p>
      </xdr:txBody>
    </xdr:sp>
    <xdr:clientData/>
  </xdr:twoCellAnchor>
  <xdr:twoCellAnchor>
    <xdr:from>
      <xdr:col>5</xdr:col>
      <xdr:colOff>279400</xdr:colOff>
      <xdr:row>7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415524-9292-D43B-2C62-AFF4F105B81E}"/>
            </a:ext>
          </a:extLst>
        </xdr:cNvPr>
        <xdr:cNvSpPr/>
      </xdr:nvSpPr>
      <xdr:spPr>
        <a:xfrm>
          <a:off x="833755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19050</xdr:rowOff>
    </xdr:from>
    <xdr:to>
      <xdr:col>9</xdr:col>
      <xdr:colOff>0</xdr:colOff>
      <xdr:row>6</xdr:row>
      <xdr:rowOff>0</xdr:rowOff>
    </xdr:to>
    <xdr:sp macro="[0]!CADASTRO_FUNCIONARIOS" textlink="">
      <xdr:nvSpPr>
        <xdr:cNvPr id="2" name="Retângulo: Cantos Diagonais Arredondados 1">
          <a:extLst>
            <a:ext uri="{FF2B5EF4-FFF2-40B4-BE49-F238E27FC236}">
              <a16:creationId xmlns:a16="http://schemas.microsoft.com/office/drawing/2014/main" id="{399CD819-5D9C-2B24-4246-74F4DCEB850D}"/>
            </a:ext>
          </a:extLst>
        </xdr:cNvPr>
        <xdr:cNvSpPr/>
      </xdr:nvSpPr>
      <xdr:spPr>
        <a:xfrm>
          <a:off x="8305800" y="203200"/>
          <a:ext cx="1581150" cy="90170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CADASTRO</a:t>
          </a:r>
        </a:p>
        <a:p>
          <a:pPr algn="ctr"/>
          <a:r>
            <a:rPr lang="pt-BR" sz="1400" b="1" baseline="0"/>
            <a:t> DE</a:t>
          </a:r>
        </a:p>
        <a:p>
          <a:pPr algn="ctr"/>
          <a:r>
            <a:rPr lang="pt-BR" sz="1400" b="1" baseline="0"/>
            <a:t> FUNCINÁRIOS</a:t>
          </a:r>
          <a:endParaRPr lang="pt-BR" sz="1400" b="1"/>
        </a:p>
      </xdr:txBody>
    </xdr:sp>
    <xdr:clientData/>
  </xdr:twoCellAnchor>
  <xdr:twoCellAnchor>
    <xdr:from>
      <xdr:col>6</xdr:col>
      <xdr:colOff>361950</xdr:colOff>
      <xdr:row>7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B66D2-5408-4F1F-B11A-570691A6C6F5}"/>
            </a:ext>
          </a:extLst>
        </xdr:cNvPr>
        <xdr:cNvSpPr/>
      </xdr:nvSpPr>
      <xdr:spPr>
        <a:xfrm>
          <a:off x="842010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203200</xdr:rowOff>
    </xdr:from>
    <xdr:to>
      <xdr:col>12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MINHA</a:t>
          </a:r>
          <a:r>
            <a:rPr lang="pt-BR" sz="2400" b="1" baseline="0"/>
            <a:t> EMPRESA S/A</a:t>
          </a:r>
          <a:endParaRPr lang="pt-BR" sz="2400" b="1"/>
        </a:p>
      </xdr:txBody>
    </xdr:sp>
    <xdr:clientData/>
  </xdr:twoCellAnchor>
  <xdr:twoCellAnchor>
    <xdr:from>
      <xdr:col>5</xdr:col>
      <xdr:colOff>247650</xdr:colOff>
      <xdr:row>12</xdr:row>
      <xdr:rowOff>120650</xdr:rowOff>
    </xdr:from>
    <xdr:to>
      <xdr:col>7</xdr:col>
      <xdr:colOff>19700</xdr:colOff>
      <xdr:row>14</xdr:row>
      <xdr:rowOff>116600</xdr:rowOff>
    </xdr:to>
    <xdr:sp macro="[0]!Macro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4619625" y="3663950"/>
          <a:ext cx="141035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8</xdr:col>
      <xdr:colOff>666750</xdr:colOff>
      <xdr:row>12</xdr:row>
      <xdr:rowOff>114300</xdr:rowOff>
    </xdr:from>
    <xdr:to>
      <xdr:col>11</xdr:col>
      <xdr:colOff>289575</xdr:colOff>
      <xdr:row>14</xdr:row>
      <xdr:rowOff>110250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7372350" y="36576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CANCELAR</a:t>
          </a:r>
        </a:p>
      </xdr:txBody>
    </xdr:sp>
    <xdr:clientData/>
  </xdr:twoCellAnchor>
  <xdr:twoCellAnchor>
    <xdr:from>
      <xdr:col>11</xdr:col>
      <xdr:colOff>152400</xdr:colOff>
      <xdr:row>0</xdr:row>
      <xdr:rowOff>82550</xdr:rowOff>
    </xdr:from>
    <xdr:to>
      <xdr:col>13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D17D5F-D464-4313-A09D-D94C7596E414}"/>
            </a:ext>
          </a:extLst>
        </xdr:cNvPr>
        <xdr:cNvSpPr/>
      </xdr:nvSpPr>
      <xdr:spPr>
        <a:xfrm>
          <a:off x="9042400" y="825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AC8EDE9-C57C-4219-8441-BEB189589A89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869950</xdr:colOff>
      <xdr:row>0</xdr:row>
      <xdr:rowOff>0</xdr:rowOff>
    </xdr:from>
    <xdr:to>
      <xdr:col>14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1E377D-4D45-4476-A68D-C3341CE9978F}"/>
            </a:ext>
          </a:extLst>
        </xdr:cNvPr>
        <xdr:cNvSpPr/>
      </xdr:nvSpPr>
      <xdr:spPr>
        <a:xfrm>
          <a:off x="9563100" y="0"/>
          <a:ext cx="1466850" cy="6731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Arial Black" panose="020B0A04020102020204" pitchFamily="34" charset="0"/>
            </a:rPr>
            <a:t>RETORNAR</a:t>
          </a:r>
          <a:r>
            <a:rPr lang="pt-BR" sz="90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90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900" b="1" baseline="0">
              <a:latin typeface="Arial Black" panose="020B0A04020102020204" pitchFamily="34" charset="0"/>
            </a:rPr>
            <a:t> MENU</a:t>
          </a:r>
          <a:endParaRPr lang="pt-BR" sz="90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AB21813-77E7-44B5-BB35-BAFDB6A57168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184150</xdr:colOff>
      <xdr:row>9</xdr:row>
      <xdr:rowOff>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1B8B0C-4739-4898-BE68-A540CAEAD676}"/>
            </a:ext>
          </a:extLst>
        </xdr:cNvPr>
        <xdr:cNvSpPr/>
      </xdr:nvSpPr>
      <xdr:spPr>
        <a:xfrm>
          <a:off x="5715000" y="152400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127001</xdr:colOff>
      <xdr:row>0</xdr:row>
      <xdr:rowOff>69850</xdr:rowOff>
    </xdr:from>
    <xdr:to>
      <xdr:col>13</xdr:col>
      <xdr:colOff>1576917</xdr:colOff>
      <xdr:row>0</xdr:row>
      <xdr:rowOff>527050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291168" y="69850"/>
          <a:ext cx="10371666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14</xdr:col>
      <xdr:colOff>1466850</xdr:colOff>
      <xdr:row>1</xdr:row>
      <xdr:rowOff>50800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2C9C6-1797-4F49-95BC-62AF1D358840}"/>
            </a:ext>
          </a:extLst>
        </xdr:cNvPr>
        <xdr:cNvSpPr/>
      </xdr:nvSpPr>
      <xdr:spPr>
        <a:xfrm>
          <a:off x="10541000" y="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BD38A0-A78F-4DBD-ADB1-5BE31BBCB9F3}" name="Tabela13" displayName="Tabela13" ref="A1:E28" totalsRowShown="0" headerRowDxfId="20" dataDxfId="18" headerRowBorderDxfId="19" tableBorderDxfId="17" totalsRowBorderDxfId="16">
  <tableColumns count="5">
    <tableColumn id="1" xr3:uid="{41BB5AD6-9B55-439B-A267-DB978778B081}" name="Nome" dataDxfId="15"/>
    <tableColumn id="2" xr3:uid="{86672887-135C-41F3-9F41-8482917D20CA}" name="CPF" dataDxfId="14"/>
    <tableColumn id="3" xr3:uid="{B5EE3CD0-BC0F-41A9-BFE6-58DE08DE13F1}" name="CARGO" dataDxfId="13"/>
    <tableColumn id="4" xr3:uid="{81D1564E-685F-4375-9298-A35D849043B6}" name="EMAIL" dataDxfId="12"/>
    <tableColumn id="5" xr3:uid="{A18125EC-5DCD-4DC7-B688-F3C3E0A62EBC}" name="DATA CADASTRO" dataDxfId="11" dataCellStyle="Moeda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E1CD2-B9B9-46A8-AE3A-900194E1C3F8}" name="Tabela134" displayName="Tabela134" ref="A1:F25" totalsRowShown="0" headerRowDxfId="10" dataDxfId="8" headerRowBorderDxfId="9" tableBorderDxfId="7" totalsRowBorderDxfId="6">
  <tableColumns count="6">
    <tableColumn id="1" xr3:uid="{A992D616-629B-4ED4-9DDE-A36E7EE6A19C}" name="Nome" dataDxfId="5"/>
    <tableColumn id="2" xr3:uid="{BB8A4FB3-8149-4CC2-BF5E-D4B56B342B1E}" name="CPF" dataDxfId="4"/>
    <tableColumn id="3" xr3:uid="{1E0D060B-32BE-4491-92A7-1E999D2E55A0}" name="CARGO" dataDxfId="3"/>
    <tableColumn id="4" xr3:uid="{D7CA9B26-5B17-439F-B431-F248B3CA6288}" name="EMAIL" dataDxfId="2"/>
    <tableColumn id="5" xr3:uid="{13F9A03D-D712-4CB8-A749-74739C3539DA}" name="Admissão" dataDxfId="1" dataCellStyle="Moeda"/>
    <tableColumn id="6" xr3:uid="{A4871059-E9CC-4DBF-9FBF-CA4D96BB84BE}" name="COMISSÃO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ANTONIO@PRODUTOR" TargetMode="External"/><Relationship Id="rId1" Type="http://schemas.openxmlformats.org/officeDocument/2006/relationships/hyperlink" Target="mailto:menina@flores" TargetMode="External"/><Relationship Id="rId5" Type="http://schemas.openxmlformats.org/officeDocument/2006/relationships/table" Target="../tables/table2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4591-F9D9-4F21-821E-5F9AAC110E57}">
  <sheetPr codeName="Planilha10"/>
  <dimension ref="A1:S29"/>
  <sheetViews>
    <sheetView showGridLines="0" showRowColHeaders="0" workbookViewId="0">
      <pane xSplit="19" ySplit="29" topLeftCell="T30" activePane="bottomRight" state="frozen"/>
      <selection pane="topRight" activeCell="T1" sqref="T1"/>
      <selection pane="bottomLeft" activeCell="A30" sqref="A30"/>
      <selection pane="bottomRight" activeCell="F20" sqref="F20"/>
    </sheetView>
  </sheetViews>
  <sheetFormatPr defaultRowHeight="15"/>
  <cols>
    <col min="1" max="1" width="5.42578125" customWidth="1"/>
    <col min="17" max="17" width="18.28515625" bestFit="1" customWidth="1"/>
    <col min="19" max="19" width="4.140625" customWidth="1"/>
  </cols>
  <sheetData>
    <row r="1" spans="1:19" ht="15.75" thickBot="1">
      <c r="A1" s="66"/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</row>
    <row r="2" spans="1:19" ht="20.25" thickBot="1">
      <c r="A2" s="66"/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9">
        <f ca="1">TODAY()</f>
        <v>45103</v>
      </c>
      <c r="R2" s="67"/>
      <c r="S2" s="66"/>
    </row>
    <row r="3" spans="1:19" ht="62.25" thickBot="1">
      <c r="A3" s="66"/>
      <c r="B3" s="67"/>
      <c r="C3" s="67"/>
      <c r="D3" s="67"/>
      <c r="E3" s="67"/>
      <c r="F3" s="67"/>
      <c r="G3" s="86" t="s">
        <v>79</v>
      </c>
      <c r="H3" s="87"/>
      <c r="I3" s="87"/>
      <c r="J3" s="87"/>
      <c r="K3" s="87"/>
      <c r="L3" s="87"/>
      <c r="M3" s="88"/>
      <c r="N3" s="67"/>
      <c r="O3" s="67"/>
      <c r="P3" s="67"/>
      <c r="Q3" s="67"/>
      <c r="R3" s="67"/>
      <c r="S3" s="66"/>
    </row>
    <row r="4" spans="1:19">
      <c r="A4" s="66"/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6"/>
    </row>
    <row r="5" spans="1:19">
      <c r="A5" s="66"/>
      <c r="B5" s="67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7"/>
      <c r="S5" s="66"/>
    </row>
    <row r="6" spans="1:19">
      <c r="A6" s="66"/>
      <c r="B6" s="67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7"/>
      <c r="S6" s="66"/>
    </row>
    <row r="7" spans="1:19">
      <c r="A7" s="66"/>
      <c r="B7" s="67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7"/>
      <c r="S7" s="66"/>
    </row>
    <row r="8" spans="1:19">
      <c r="A8" s="66"/>
      <c r="B8" s="67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7"/>
      <c r="S8" s="66"/>
    </row>
    <row r="9" spans="1:19">
      <c r="A9" s="66"/>
      <c r="B9" s="67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6"/>
    </row>
    <row r="10" spans="1:19">
      <c r="A10" s="66"/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6"/>
    </row>
    <row r="11" spans="1:19">
      <c r="A11" s="66"/>
      <c r="B11" s="67"/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/>
      <c r="S11" s="66"/>
    </row>
    <row r="12" spans="1:19">
      <c r="A12" s="66"/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6"/>
    </row>
    <row r="13" spans="1:19">
      <c r="A13" s="66"/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6"/>
    </row>
    <row r="14" spans="1:19">
      <c r="A14" s="66"/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6"/>
    </row>
    <row r="15" spans="1:19">
      <c r="A15" s="66"/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6"/>
    </row>
    <row r="16" spans="1:19">
      <c r="A16" s="66"/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6"/>
    </row>
    <row r="17" spans="1:19">
      <c r="A17" s="66"/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6"/>
    </row>
    <row r="18" spans="1:19">
      <c r="A18" s="66"/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6"/>
    </row>
    <row r="19" spans="1:19">
      <c r="A19" s="66"/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6"/>
    </row>
    <row r="20" spans="1:19">
      <c r="A20" s="66"/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6"/>
    </row>
    <row r="21" spans="1:19">
      <c r="A21" s="66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6"/>
    </row>
    <row r="22" spans="1:19">
      <c r="A22" s="66"/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6"/>
    </row>
    <row r="23" spans="1:19">
      <c r="A23" s="66"/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6"/>
    </row>
    <row r="24" spans="1:19">
      <c r="A24" s="66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6"/>
    </row>
    <row r="25" spans="1:19">
      <c r="A25" s="66"/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6"/>
    </row>
    <row r="26" spans="1:19">
      <c r="A26" s="66"/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6"/>
    </row>
    <row r="27" spans="1:19">
      <c r="A27" s="66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6"/>
    </row>
    <row r="28" spans="1:19">
      <c r="A28" s="66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6"/>
    </row>
    <row r="29" spans="1:19">
      <c r="A29" s="66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</row>
  </sheetData>
  <mergeCells count="1">
    <mergeCell ref="G3:M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sheetPr codeName="Planilha4"/>
  <dimension ref="A1:E29"/>
  <sheetViews>
    <sheetView workbookViewId="0">
      <pane xSplit="9" ySplit="27" topLeftCell="J28" activePane="bottomRight" state="frozen"/>
      <selection pane="topRight" activeCell="J1" sqref="J1"/>
      <selection pane="bottomLeft" activeCell="A28" sqref="A28"/>
      <selection pane="bottomRight"/>
    </sheetView>
  </sheetViews>
  <sheetFormatPr defaultRowHeight="15"/>
  <cols>
    <col min="1" max="1" width="23" bestFit="1" customWidth="1"/>
    <col min="2" max="3" width="22" customWidth="1"/>
    <col min="4" max="4" width="31.85546875" bestFit="1" customWidth="1"/>
    <col min="5" max="5" width="16.42578125" style="28" customWidth="1"/>
    <col min="6" max="6" width="12" customWidth="1"/>
    <col min="7" max="7" width="13" customWidth="1"/>
  </cols>
  <sheetData>
    <row r="1" spans="1:5" s="53" customFormat="1">
      <c r="A1" s="50" t="s">
        <v>56</v>
      </c>
      <c r="B1" s="51" t="s">
        <v>1</v>
      </c>
      <c r="C1" s="51" t="s">
        <v>57</v>
      </c>
      <c r="D1" s="51" t="s">
        <v>58</v>
      </c>
      <c r="E1" s="52" t="s">
        <v>16</v>
      </c>
    </row>
    <row r="2" spans="1:5" s="40" customFormat="1">
      <c r="A2" s="41" t="s">
        <v>13</v>
      </c>
      <c r="B2" s="42">
        <v>202020202020</v>
      </c>
      <c r="C2" s="42" t="s">
        <v>32</v>
      </c>
      <c r="D2" s="42" t="s">
        <v>60</v>
      </c>
      <c r="E2" s="43" t="s">
        <v>17</v>
      </c>
    </row>
    <row r="3" spans="1:5" s="40" customFormat="1">
      <c r="A3" s="41" t="s">
        <v>14</v>
      </c>
      <c r="B3" s="42">
        <v>3030303030303</v>
      </c>
      <c r="C3" s="42" t="s">
        <v>32</v>
      </c>
      <c r="D3" s="42" t="s">
        <v>61</v>
      </c>
      <c r="E3" s="43">
        <v>35977</v>
      </c>
    </row>
    <row r="4" spans="1:5" s="40" customFormat="1">
      <c r="A4" s="41" t="s">
        <v>25</v>
      </c>
      <c r="B4" s="42">
        <v>33311122200</v>
      </c>
      <c r="C4" s="42" t="s">
        <v>32</v>
      </c>
      <c r="D4" s="42" t="s">
        <v>62</v>
      </c>
      <c r="E4" s="43">
        <v>37021</v>
      </c>
    </row>
    <row r="5" spans="1:5" s="40" customFormat="1">
      <c r="A5" s="41" t="s">
        <v>27</v>
      </c>
      <c r="B5" s="44">
        <v>8244227427</v>
      </c>
      <c r="C5" s="42" t="s">
        <v>28</v>
      </c>
      <c r="D5" s="42" t="s">
        <v>63</v>
      </c>
      <c r="E5" s="43">
        <v>43545</v>
      </c>
    </row>
    <row r="6" spans="1:5" s="40" customFormat="1">
      <c r="A6" s="41" t="s">
        <v>29</v>
      </c>
      <c r="B6" s="44">
        <v>14042620752</v>
      </c>
      <c r="C6" s="42" t="s">
        <v>30</v>
      </c>
      <c r="D6" s="42" t="s">
        <v>64</v>
      </c>
      <c r="E6" s="43">
        <v>43555</v>
      </c>
    </row>
    <row r="7" spans="1:5" s="40" customFormat="1">
      <c r="A7" s="41" t="s">
        <v>31</v>
      </c>
      <c r="B7" s="44">
        <v>6677993262</v>
      </c>
      <c r="C7" s="42" t="s">
        <v>32</v>
      </c>
      <c r="D7" s="42" t="s">
        <v>65</v>
      </c>
      <c r="E7" s="43">
        <v>43565</v>
      </c>
    </row>
    <row r="8" spans="1:5" s="40" customFormat="1">
      <c r="A8" s="41" t="s">
        <v>33</v>
      </c>
      <c r="B8" s="44">
        <v>13481923178</v>
      </c>
      <c r="C8" s="42" t="s">
        <v>34</v>
      </c>
      <c r="D8" s="42" t="s">
        <v>66</v>
      </c>
      <c r="E8" s="43">
        <v>43575</v>
      </c>
    </row>
    <row r="9" spans="1:5" s="40" customFormat="1">
      <c r="A9" s="41" t="s">
        <v>35</v>
      </c>
      <c r="B9" s="44">
        <v>7303330974</v>
      </c>
      <c r="C9" s="42" t="s">
        <v>34</v>
      </c>
      <c r="D9" s="42" t="s">
        <v>66</v>
      </c>
      <c r="E9" s="43">
        <v>43585</v>
      </c>
    </row>
    <row r="10" spans="1:5" s="40" customFormat="1">
      <c r="A10" s="41" t="s">
        <v>36</v>
      </c>
      <c r="B10" s="44">
        <v>8534793687</v>
      </c>
      <c r="C10" s="42" t="s">
        <v>32</v>
      </c>
      <c r="D10" s="42" t="s">
        <v>65</v>
      </c>
      <c r="E10" s="43">
        <v>43595</v>
      </c>
    </row>
    <row r="11" spans="1:5" s="40" customFormat="1">
      <c r="A11" s="41" t="s">
        <v>37</v>
      </c>
      <c r="B11" s="44">
        <v>12790015618</v>
      </c>
      <c r="C11" s="42" t="s">
        <v>38</v>
      </c>
      <c r="D11" s="42" t="s">
        <v>67</v>
      </c>
      <c r="E11" s="43">
        <v>43605</v>
      </c>
    </row>
    <row r="12" spans="1:5" s="40" customFormat="1">
      <c r="A12" s="41" t="s">
        <v>39</v>
      </c>
      <c r="B12" s="44">
        <v>10403073100</v>
      </c>
      <c r="C12" s="42" t="s">
        <v>28</v>
      </c>
      <c r="D12" s="42" t="s">
        <v>63</v>
      </c>
      <c r="E12" s="43">
        <v>43615</v>
      </c>
    </row>
    <row r="13" spans="1:5" s="40" customFormat="1">
      <c r="A13" s="41" t="s">
        <v>40</v>
      </c>
      <c r="B13" s="44">
        <v>8141976567</v>
      </c>
      <c r="C13" s="42" t="s">
        <v>34</v>
      </c>
      <c r="D13" s="42" t="s">
        <v>66</v>
      </c>
      <c r="E13" s="43">
        <v>43625</v>
      </c>
    </row>
    <row r="14" spans="1:5" s="40" customFormat="1">
      <c r="A14" s="41" t="s">
        <v>41</v>
      </c>
      <c r="B14" s="44">
        <v>13753218615</v>
      </c>
      <c r="C14" s="42" t="s">
        <v>34</v>
      </c>
      <c r="D14" s="42" t="s">
        <v>66</v>
      </c>
      <c r="E14" s="43">
        <v>43635</v>
      </c>
    </row>
    <row r="15" spans="1:5" s="40" customFormat="1">
      <c r="A15" s="41" t="s">
        <v>42</v>
      </c>
      <c r="B15" s="44">
        <v>13365514967</v>
      </c>
      <c r="C15" s="42" t="s">
        <v>28</v>
      </c>
      <c r="D15" s="42" t="s">
        <v>63</v>
      </c>
      <c r="E15" s="43">
        <v>43645</v>
      </c>
    </row>
    <row r="16" spans="1:5" s="40" customFormat="1">
      <c r="A16" s="41" t="s">
        <v>43</v>
      </c>
      <c r="B16" s="44">
        <v>10700047349</v>
      </c>
      <c r="C16" s="42" t="s">
        <v>28</v>
      </c>
      <c r="D16" s="42" t="s">
        <v>63</v>
      </c>
      <c r="E16" s="43">
        <v>43655</v>
      </c>
    </row>
    <row r="17" spans="1:5" s="40" customFormat="1">
      <c r="A17" s="41" t="s">
        <v>44</v>
      </c>
      <c r="B17" s="44">
        <v>13335156751</v>
      </c>
      <c r="C17" s="42" t="s">
        <v>30</v>
      </c>
      <c r="D17" s="42" t="s">
        <v>64</v>
      </c>
      <c r="E17" s="43">
        <v>43665</v>
      </c>
    </row>
    <row r="18" spans="1:5" s="40" customFormat="1">
      <c r="A18" s="41" t="s">
        <v>45</v>
      </c>
      <c r="B18" s="44">
        <v>13672562963</v>
      </c>
      <c r="C18" s="42" t="s">
        <v>34</v>
      </c>
      <c r="D18" s="42" t="s">
        <v>66</v>
      </c>
      <c r="E18" s="43">
        <v>43675</v>
      </c>
    </row>
    <row r="19" spans="1:5" s="40" customFormat="1">
      <c r="A19" s="41" t="s">
        <v>46</v>
      </c>
      <c r="B19" s="44">
        <v>14074531754</v>
      </c>
      <c r="C19" s="42" t="s">
        <v>47</v>
      </c>
      <c r="D19" s="42" t="s">
        <v>68</v>
      </c>
      <c r="E19" s="43">
        <v>43685</v>
      </c>
    </row>
    <row r="20" spans="1:5" s="40" customFormat="1">
      <c r="A20" s="41" t="s">
        <v>48</v>
      </c>
      <c r="B20" s="44">
        <v>11085752980</v>
      </c>
      <c r="C20" s="42" t="s">
        <v>32</v>
      </c>
      <c r="D20" s="42" t="s">
        <v>65</v>
      </c>
      <c r="E20" s="43">
        <v>43695</v>
      </c>
    </row>
    <row r="21" spans="1:5" s="40" customFormat="1">
      <c r="A21" s="41" t="s">
        <v>49</v>
      </c>
      <c r="B21" s="44">
        <v>13616340129</v>
      </c>
      <c r="C21" s="42" t="s">
        <v>32</v>
      </c>
      <c r="D21" s="42" t="s">
        <v>65</v>
      </c>
      <c r="E21" s="43">
        <v>43705</v>
      </c>
    </row>
    <row r="22" spans="1:5" s="40" customFormat="1">
      <c r="A22" s="41" t="s">
        <v>50</v>
      </c>
      <c r="B22" s="44">
        <v>12751153973</v>
      </c>
      <c r="C22" s="42" t="s">
        <v>38</v>
      </c>
      <c r="D22" s="42" t="s">
        <v>67</v>
      </c>
      <c r="E22" s="43">
        <v>43715</v>
      </c>
    </row>
    <row r="23" spans="1:5" s="40" customFormat="1">
      <c r="A23" s="41" t="s">
        <v>51</v>
      </c>
      <c r="B23" s="44">
        <v>15178223721</v>
      </c>
      <c r="C23" s="42" t="s">
        <v>38</v>
      </c>
      <c r="D23" s="42" t="s">
        <v>67</v>
      </c>
      <c r="E23" s="43">
        <v>43725</v>
      </c>
    </row>
    <row r="24" spans="1:5" s="40" customFormat="1">
      <c r="A24" s="41" t="s">
        <v>52</v>
      </c>
      <c r="B24" s="44">
        <v>10198144634</v>
      </c>
      <c r="C24" s="42" t="s">
        <v>32</v>
      </c>
      <c r="D24" s="42" t="s">
        <v>65</v>
      </c>
      <c r="E24" s="43">
        <v>43735</v>
      </c>
    </row>
    <row r="25" spans="1:5" s="40" customFormat="1">
      <c r="A25" s="41" t="s">
        <v>53</v>
      </c>
      <c r="B25" s="44">
        <v>12146480128</v>
      </c>
      <c r="C25" s="42" t="s">
        <v>47</v>
      </c>
      <c r="D25" s="42" t="s">
        <v>68</v>
      </c>
      <c r="E25" s="43">
        <v>43745</v>
      </c>
    </row>
    <row r="26" spans="1:5" s="40" customFormat="1">
      <c r="A26" s="41" t="s">
        <v>54</v>
      </c>
      <c r="B26" s="44">
        <v>9786760977</v>
      </c>
      <c r="C26" s="42" t="s">
        <v>38</v>
      </c>
      <c r="D26" s="42" t="s">
        <v>67</v>
      </c>
      <c r="E26" s="43">
        <v>43755</v>
      </c>
    </row>
    <row r="27" spans="1:5" s="40" customFormat="1">
      <c r="A27" s="41" t="s">
        <v>55</v>
      </c>
      <c r="B27" s="44">
        <v>14440278194</v>
      </c>
      <c r="C27" s="42" t="s">
        <v>28</v>
      </c>
      <c r="D27" s="42" t="s">
        <v>63</v>
      </c>
      <c r="E27" s="43">
        <v>43765</v>
      </c>
    </row>
    <row r="28" spans="1:5" s="40" customFormat="1">
      <c r="A28" s="45" t="s">
        <v>59</v>
      </c>
      <c r="B28" s="46">
        <v>12345678910</v>
      </c>
      <c r="C28" s="47" t="s">
        <v>28</v>
      </c>
      <c r="D28" s="47" t="s">
        <v>63</v>
      </c>
      <c r="E28" s="48">
        <v>43775</v>
      </c>
    </row>
    <row r="29" spans="1:5" s="40" customFormat="1">
      <c r="E29" s="49"/>
    </row>
  </sheetData>
  <sheetProtection selectLockedCells="1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E88A-17EF-4CA6-B04E-2191E984CDCE}">
  <sheetPr codeName="Planilha9"/>
  <dimension ref="A1:L26"/>
  <sheetViews>
    <sheetView showGridLines="0" showRowColHeaders="0" workbookViewId="0">
      <pane xSplit="11" ySplit="26" topLeftCell="L27" activePane="bottomRight" state="frozen"/>
      <selection pane="topRight" activeCell="L1" sqref="L1"/>
      <selection pane="bottomLeft" activeCell="A27" sqref="A27"/>
      <selection pane="bottomRight"/>
    </sheetView>
  </sheetViews>
  <sheetFormatPr defaultColWidth="0" defaultRowHeight="15" zeroHeight="1"/>
  <cols>
    <col min="1" max="1" width="24.28515625" bestFit="1" customWidth="1"/>
    <col min="2" max="2" width="14.140625" bestFit="1" customWidth="1"/>
    <col min="3" max="3" width="13.140625" bestFit="1" customWidth="1"/>
    <col min="4" max="4" width="31.85546875" bestFit="1" customWidth="1"/>
    <col min="5" max="5" width="15.140625" bestFit="1" customWidth="1"/>
    <col min="6" max="6" width="16.85546875" customWidth="1"/>
    <col min="7" max="9" width="9.140625" customWidth="1"/>
    <col min="10" max="12" width="0" hidden="1" customWidth="1"/>
    <col min="13" max="16384" width="9.140625" hidden="1"/>
  </cols>
  <sheetData>
    <row r="1" spans="1:12">
      <c r="A1" s="38" t="s">
        <v>56</v>
      </c>
      <c r="B1" s="38" t="s">
        <v>1</v>
      </c>
      <c r="C1" s="38" t="s">
        <v>57</v>
      </c>
      <c r="D1" s="38" t="s">
        <v>58</v>
      </c>
      <c r="E1" s="38" t="s">
        <v>69</v>
      </c>
      <c r="F1" s="33" t="s">
        <v>26</v>
      </c>
    </row>
    <row r="2" spans="1:12">
      <c r="A2" s="34" t="s">
        <v>27</v>
      </c>
      <c r="B2" s="32">
        <v>8244227427</v>
      </c>
      <c r="C2" s="31" t="s">
        <v>28</v>
      </c>
      <c r="D2" t="s">
        <v>63</v>
      </c>
      <c r="E2" s="10">
        <v>43545</v>
      </c>
      <c r="F2" s="39">
        <v>0.1</v>
      </c>
    </row>
    <row r="3" spans="1:12">
      <c r="A3" s="34" t="s">
        <v>29</v>
      </c>
      <c r="B3" s="32">
        <v>14042620752</v>
      </c>
      <c r="C3" s="31" t="s">
        <v>30</v>
      </c>
      <c r="D3" t="s">
        <v>64</v>
      </c>
      <c r="E3" s="10">
        <v>43555</v>
      </c>
      <c r="F3" s="39">
        <v>0.15</v>
      </c>
      <c r="H3" s="59"/>
    </row>
    <row r="4" spans="1:12">
      <c r="A4" s="34" t="s">
        <v>31</v>
      </c>
      <c r="B4" s="32">
        <v>6677993262</v>
      </c>
      <c r="C4" s="31" t="s">
        <v>32</v>
      </c>
      <c r="D4" t="s">
        <v>65</v>
      </c>
      <c r="E4" s="10">
        <v>43565</v>
      </c>
      <c r="F4" s="39">
        <v>0.02</v>
      </c>
      <c r="H4" s="60"/>
    </row>
    <row r="5" spans="1:12">
      <c r="A5" s="34" t="s">
        <v>33</v>
      </c>
      <c r="B5" s="32">
        <v>13481923178</v>
      </c>
      <c r="C5" s="31" t="s">
        <v>34</v>
      </c>
      <c r="D5" t="s">
        <v>66</v>
      </c>
      <c r="E5" s="10">
        <v>43575</v>
      </c>
      <c r="F5" s="39">
        <v>0.35</v>
      </c>
      <c r="H5" s="60"/>
      <c r="J5" s="59"/>
    </row>
    <row r="6" spans="1:12">
      <c r="A6" s="34" t="s">
        <v>35</v>
      </c>
      <c r="B6" s="32">
        <v>7303330974</v>
      </c>
      <c r="C6" s="31" t="s">
        <v>34</v>
      </c>
      <c r="D6" t="s">
        <v>66</v>
      </c>
      <c r="E6" s="10">
        <v>43585</v>
      </c>
      <c r="F6" s="39">
        <v>0.2</v>
      </c>
      <c r="H6" s="60"/>
      <c r="J6" s="60"/>
    </row>
    <row r="7" spans="1:12">
      <c r="A7" s="34" t="s">
        <v>36</v>
      </c>
      <c r="B7" s="32">
        <v>8534793687</v>
      </c>
      <c r="C7" s="31" t="s">
        <v>32</v>
      </c>
      <c r="D7" t="s">
        <v>65</v>
      </c>
      <c r="E7" s="10">
        <v>43595</v>
      </c>
      <c r="F7" s="39">
        <v>0.05</v>
      </c>
      <c r="H7" s="61"/>
      <c r="J7" s="60"/>
    </row>
    <row r="8" spans="1:12">
      <c r="A8" s="34" t="s">
        <v>70</v>
      </c>
      <c r="B8" s="32" t="s">
        <v>71</v>
      </c>
      <c r="C8" s="31" t="s">
        <v>72</v>
      </c>
      <c r="D8" s="7" t="s">
        <v>73</v>
      </c>
      <c r="E8" s="10">
        <v>45017</v>
      </c>
      <c r="F8" s="39">
        <v>0.55000000000000004</v>
      </c>
      <c r="H8" s="60"/>
      <c r="J8" s="60"/>
    </row>
    <row r="9" spans="1:12">
      <c r="A9" s="34" t="s">
        <v>81</v>
      </c>
      <c r="B9" s="32" t="s">
        <v>82</v>
      </c>
      <c r="C9" s="31" t="s">
        <v>83</v>
      </c>
      <c r="D9" s="7" t="s">
        <v>84</v>
      </c>
      <c r="E9" s="10">
        <v>45768</v>
      </c>
      <c r="F9" s="39">
        <v>0.1</v>
      </c>
      <c r="H9" s="62"/>
      <c r="I9" s="40"/>
      <c r="J9" s="63"/>
      <c r="K9" s="40"/>
      <c r="L9" s="40"/>
    </row>
    <row r="10" spans="1:12">
      <c r="A10" s="34"/>
      <c r="B10" s="32"/>
      <c r="C10" s="31"/>
      <c r="E10" s="10"/>
      <c r="H10" s="62"/>
      <c r="I10" s="40"/>
      <c r="J10" s="62"/>
      <c r="K10" s="40"/>
      <c r="L10" s="40"/>
    </row>
    <row r="11" spans="1:12">
      <c r="A11" s="34"/>
      <c r="B11" s="32"/>
      <c r="C11" s="31"/>
      <c r="E11" s="10"/>
      <c r="H11" s="63"/>
      <c r="I11" s="40"/>
      <c r="J11" s="62"/>
      <c r="K11" s="40"/>
      <c r="L11" s="40"/>
    </row>
    <row r="12" spans="1:12">
      <c r="A12" s="34"/>
      <c r="B12" s="32"/>
      <c r="C12" s="31"/>
      <c r="E12" s="10"/>
      <c r="H12" s="62"/>
      <c r="I12" s="40"/>
      <c r="J12" s="62"/>
      <c r="K12" s="40"/>
      <c r="L12" s="40"/>
    </row>
    <row r="13" spans="1:12">
      <c r="A13" s="34"/>
      <c r="B13" s="32"/>
      <c r="C13" s="31"/>
      <c r="E13" s="10"/>
      <c r="H13" s="62"/>
      <c r="I13" s="40"/>
      <c r="J13" s="63"/>
      <c r="K13" s="40"/>
      <c r="L13" s="40"/>
    </row>
    <row r="14" spans="1:12">
      <c r="A14" s="34"/>
      <c r="B14" s="32"/>
      <c r="C14" s="31"/>
      <c r="E14" s="10"/>
      <c r="H14" s="62"/>
      <c r="I14" s="40"/>
      <c r="J14" s="62"/>
      <c r="K14" s="40"/>
      <c r="L14" s="40"/>
    </row>
    <row r="15" spans="1:12">
      <c r="A15" s="34"/>
      <c r="B15" s="32"/>
      <c r="C15" s="31"/>
      <c r="E15" s="10"/>
      <c r="H15" s="40"/>
      <c r="I15" s="40"/>
      <c r="J15" s="62"/>
      <c r="K15" s="40"/>
      <c r="L15" s="40"/>
    </row>
    <row r="16" spans="1:12">
      <c r="A16" s="34"/>
      <c r="B16" s="32"/>
      <c r="C16" s="31"/>
      <c r="E16" s="10"/>
      <c r="H16" s="40"/>
      <c r="I16" s="40"/>
      <c r="J16" s="62"/>
      <c r="K16" s="40"/>
      <c r="L16" s="40"/>
    </row>
    <row r="17" spans="1:12">
      <c r="A17" s="34"/>
      <c r="B17" s="32"/>
      <c r="C17" s="31"/>
      <c r="E17" s="10"/>
      <c r="H17" s="40"/>
      <c r="I17" s="40"/>
      <c r="J17" s="40"/>
      <c r="K17" s="40"/>
      <c r="L17" s="40"/>
    </row>
    <row r="18" spans="1:12">
      <c r="A18" s="34"/>
      <c r="B18" s="32"/>
      <c r="C18" s="31"/>
      <c r="E18" s="10"/>
      <c r="H18" s="40"/>
      <c r="I18" s="40"/>
      <c r="J18" s="40"/>
      <c r="K18" s="40"/>
      <c r="L18" s="40"/>
    </row>
    <row r="19" spans="1:12">
      <c r="A19" s="34"/>
      <c r="B19" s="32"/>
      <c r="C19" s="31"/>
      <c r="E19" s="10"/>
      <c r="H19" s="40"/>
      <c r="I19" s="40"/>
      <c r="J19" s="40"/>
      <c r="K19" s="40"/>
      <c r="L19" s="40"/>
    </row>
    <row r="20" spans="1:12">
      <c r="A20" s="34"/>
      <c r="B20" s="32"/>
      <c r="C20" s="31"/>
      <c r="E20" s="10"/>
      <c r="H20" s="40"/>
      <c r="I20" s="40"/>
      <c r="J20" s="40"/>
      <c r="K20" s="40"/>
      <c r="L20" s="40"/>
    </row>
    <row r="21" spans="1:12">
      <c r="A21" s="34"/>
      <c r="B21" s="32"/>
      <c r="C21" s="31"/>
      <c r="E21" s="10"/>
    </row>
    <row r="22" spans="1:12">
      <c r="A22" s="34"/>
      <c r="B22" s="32"/>
      <c r="C22" s="31"/>
      <c r="E22" s="10"/>
    </row>
    <row r="23" spans="1:12">
      <c r="A23" s="34"/>
      <c r="B23" s="32"/>
      <c r="C23" s="31"/>
      <c r="E23" s="10"/>
    </row>
    <row r="24" spans="1:12">
      <c r="A24" s="35"/>
      <c r="B24" s="37"/>
      <c r="C24" s="36"/>
      <c r="E24" s="10"/>
    </row>
    <row r="25" spans="1:12">
      <c r="A25" s="35"/>
      <c r="B25" s="37"/>
      <c r="C25" s="36"/>
      <c r="E25" s="10"/>
    </row>
    <row r="26" spans="1:12"/>
  </sheetData>
  <phoneticPr fontId="8" type="noConversion"/>
  <hyperlinks>
    <hyperlink ref="D8" r:id="rId1" xr:uid="{A3B77F6B-4DE1-4D7F-A645-063C808B7738}"/>
    <hyperlink ref="D9" r:id="rId2" xr:uid="{96F78320-256D-4ABF-922B-6F22DB18F80C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sheetPr codeName="Planilha2"/>
  <dimension ref="A1:N30"/>
  <sheetViews>
    <sheetView showGridLines="0" tabSelected="1" workbookViewId="0">
      <pane xSplit="13" ySplit="19" topLeftCell="N20" activePane="bottomRight" state="frozen"/>
      <selection pane="topRight" activeCell="P1" sqref="P1"/>
      <selection pane="bottomLeft" activeCell="A20" sqref="A20"/>
      <selection pane="bottomRight"/>
    </sheetView>
  </sheetViews>
  <sheetFormatPr defaultColWidth="8.7109375" defaultRowHeight="15"/>
  <cols>
    <col min="1" max="1" width="2.28515625" style="3" customWidth="1"/>
    <col min="2" max="2" width="9.85546875" style="3" customWidth="1"/>
    <col min="3" max="3" width="36.7109375" style="3" customWidth="1"/>
    <col min="4" max="4" width="6.5703125" style="3" customWidth="1"/>
    <col min="5" max="5" width="15.42578125" style="3" customWidth="1"/>
    <col min="6" max="6" width="21.28515625" style="3" customWidth="1"/>
    <col min="7" max="7" width="3.28515625" style="3" customWidth="1"/>
    <col min="8" max="8" width="10.42578125" style="3" customWidth="1"/>
    <col min="9" max="9" width="13" style="3" customWidth="1"/>
    <col min="10" max="10" width="3.28515625" style="3" customWidth="1"/>
    <col min="11" max="11" width="10.42578125" style="3" customWidth="1"/>
    <col min="12" max="12" width="13" style="3" customWidth="1"/>
    <col min="13" max="13" width="10.140625" style="3" bestFit="1" customWidth="1"/>
    <col min="14" max="16384" width="8.7109375" style="3"/>
  </cols>
  <sheetData>
    <row r="1" spans="1:14" ht="64.5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ht="20.100000000000001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ht="20.100000000000001" customHeight="1" thickBot="1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2"/>
    </row>
    <row r="4" spans="1:14" ht="20.100000000000001" customHeight="1" thickBot="1">
      <c r="A4" s="2"/>
      <c r="B4" s="5" t="s">
        <v>4</v>
      </c>
      <c r="C4" s="84" t="s">
        <v>78</v>
      </c>
      <c r="D4" s="4"/>
      <c r="E4" s="4"/>
      <c r="F4" s="6" t="s">
        <v>85</v>
      </c>
      <c r="G4" s="95" t="s">
        <v>35</v>
      </c>
      <c r="H4" s="96"/>
      <c r="I4" s="97"/>
      <c r="J4" s="94" t="s">
        <v>26</v>
      </c>
      <c r="K4" s="94"/>
      <c r="L4" s="71">
        <f>VLOOKUP(G4,Tabela134[],6,'DADOS FUNCIONÁRIOS'!L270)</f>
        <v>0.2</v>
      </c>
      <c r="M4" s="4"/>
      <c r="N4" s="2"/>
    </row>
    <row r="5" spans="1:14" ht="20.100000000000001" customHeight="1" thickBot="1">
      <c r="A5" s="2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2"/>
    </row>
    <row r="6" spans="1:14" ht="20.100000000000001" customHeight="1" thickBot="1">
      <c r="A6" s="2"/>
      <c r="B6" s="5" t="s">
        <v>0</v>
      </c>
      <c r="C6" s="82" t="str">
        <f>IFERROR(VLOOKUP("*"&amp;C4&amp;"*",'DADOS CLIENTES'!A:D,1,0),"ERRO")</f>
        <v>Daniela Muller Braga</v>
      </c>
      <c r="D6" s="4"/>
      <c r="E6" s="6" t="s">
        <v>6</v>
      </c>
      <c r="F6" s="75" t="s">
        <v>80</v>
      </c>
      <c r="G6" s="92" t="s">
        <v>8</v>
      </c>
      <c r="H6" s="92"/>
      <c r="I6" s="92"/>
      <c r="J6" s="92"/>
      <c r="K6" s="92"/>
      <c r="L6" s="93"/>
      <c r="M6" s="4"/>
      <c r="N6" s="2"/>
    </row>
    <row r="7" spans="1:14" ht="20.100000000000001" customHeight="1">
      <c r="A7" s="2"/>
      <c r="B7" s="5"/>
      <c r="C7" s="4"/>
      <c r="D7" s="4"/>
      <c r="E7" s="6" t="s">
        <v>18</v>
      </c>
      <c r="F7" s="76">
        <v>45070</v>
      </c>
      <c r="G7" s="72">
        <v>1</v>
      </c>
      <c r="H7" s="20">
        <f>IF(F11&lt;&gt;"",EDATE(F7,1),"")</f>
        <v>45101</v>
      </c>
      <c r="I7" s="14">
        <f t="shared" ref="I7:I12" si="0">IF($F$11&gt;=G7,$F$12,"")</f>
        <v>608.33333333333337</v>
      </c>
      <c r="J7" s="12">
        <v>7</v>
      </c>
      <c r="K7" s="20" t="str">
        <f>IF(L7&lt;&gt;"",EDATE(H12,1),"")</f>
        <v/>
      </c>
      <c r="L7" s="17" t="str">
        <f t="shared" ref="L7:L12" si="1">IF($F$11&gt;=J7,$F$12,"")</f>
        <v/>
      </c>
      <c r="M7" s="4"/>
      <c r="N7" s="2"/>
    </row>
    <row r="8" spans="1:14" ht="20.100000000000001" customHeight="1">
      <c r="A8" s="2"/>
      <c r="B8" s="5" t="s">
        <v>1</v>
      </c>
      <c r="C8" s="85">
        <f>IFERROR(VLOOKUP("*"&amp;C4&amp;"*",'DADOS CLIENTES'!A:Z,2,0),"ERRO")</f>
        <v>12790015618</v>
      </c>
      <c r="D8" s="4"/>
      <c r="E8" s="6" t="s">
        <v>74</v>
      </c>
      <c r="F8" s="77" t="s">
        <v>81</v>
      </c>
      <c r="G8" s="73">
        <v>2</v>
      </c>
      <c r="H8" s="21">
        <f>IF(I8&lt;&gt;"",EDATE(H7,1),"")</f>
        <v>45131</v>
      </c>
      <c r="I8" s="15">
        <f t="shared" si="0"/>
        <v>608.33333333333337</v>
      </c>
      <c r="J8" s="11">
        <v>8</v>
      </c>
      <c r="K8" s="21" t="str">
        <f>IF(L8&lt;&gt;"",EDATE(K7,1),"")</f>
        <v/>
      </c>
      <c r="L8" s="18" t="str">
        <f t="shared" si="1"/>
        <v/>
      </c>
      <c r="M8" s="4"/>
      <c r="N8" s="2"/>
    </row>
    <row r="9" spans="1:14" ht="20.100000000000001" customHeight="1" thickBot="1">
      <c r="A9" s="2"/>
      <c r="B9" s="5"/>
      <c r="C9" s="4"/>
      <c r="D9" s="4"/>
      <c r="E9" s="6" t="s">
        <v>76</v>
      </c>
      <c r="F9" s="78">
        <v>3650</v>
      </c>
      <c r="G9" s="73">
        <v>3</v>
      </c>
      <c r="H9" s="21">
        <f t="shared" ref="H9:H12" si="2">IF(I9&lt;&gt;"",EDATE(H8,1),"")</f>
        <v>45162</v>
      </c>
      <c r="I9" s="15">
        <f t="shared" si="0"/>
        <v>608.33333333333337</v>
      </c>
      <c r="J9" s="11">
        <v>9</v>
      </c>
      <c r="K9" s="21" t="str">
        <f t="shared" ref="K9:K12" si="3">IF(L9&lt;&gt;"",EDATE(K8,1),"")</f>
        <v/>
      </c>
      <c r="L9" s="18" t="str">
        <f t="shared" si="1"/>
        <v/>
      </c>
      <c r="M9" s="4"/>
      <c r="N9" s="2"/>
    </row>
    <row r="10" spans="1:14" ht="20.100000000000001" customHeight="1" thickBot="1">
      <c r="A10" s="2"/>
      <c r="B10" s="5" t="s">
        <v>2</v>
      </c>
      <c r="C10" s="82" t="str">
        <f>IFERROR(VLOOKUP("*"&amp;C4&amp;"*",'DADOS CLIENTES'!A:D,3,0),"ERRO")</f>
        <v>Logística</v>
      </c>
      <c r="D10" s="4"/>
      <c r="E10" s="6" t="s">
        <v>75</v>
      </c>
      <c r="F10" s="79">
        <f>F9*L4</f>
        <v>730</v>
      </c>
      <c r="G10" s="73">
        <v>4</v>
      </c>
      <c r="H10" s="21">
        <f t="shared" si="2"/>
        <v>45193</v>
      </c>
      <c r="I10" s="15">
        <f t="shared" si="0"/>
        <v>608.33333333333337</v>
      </c>
      <c r="J10" s="11">
        <v>10</v>
      </c>
      <c r="K10" s="21" t="str">
        <f t="shared" si="3"/>
        <v/>
      </c>
      <c r="L10" s="18" t="str">
        <f t="shared" si="1"/>
        <v/>
      </c>
      <c r="M10" s="4"/>
      <c r="N10" s="2"/>
    </row>
    <row r="11" spans="1:14" ht="20.100000000000001" customHeight="1" thickBot="1">
      <c r="A11" s="2"/>
      <c r="B11" s="5"/>
      <c r="C11" s="4"/>
      <c r="D11" s="6"/>
      <c r="E11" s="6" t="s">
        <v>19</v>
      </c>
      <c r="F11" s="80">
        <v>6</v>
      </c>
      <c r="G11" s="73">
        <v>5</v>
      </c>
      <c r="H11" s="21">
        <f t="shared" si="2"/>
        <v>45223</v>
      </c>
      <c r="I11" s="15">
        <f t="shared" si="0"/>
        <v>608.33333333333337</v>
      </c>
      <c r="J11" s="11">
        <v>11</v>
      </c>
      <c r="K11" s="21" t="str">
        <f t="shared" si="3"/>
        <v/>
      </c>
      <c r="L11" s="18" t="str">
        <f t="shared" si="1"/>
        <v/>
      </c>
      <c r="M11" s="4"/>
      <c r="N11" s="2"/>
    </row>
    <row r="12" spans="1:14" ht="20.100000000000001" customHeight="1" thickBot="1">
      <c r="A12" s="2"/>
      <c r="B12" s="5" t="s">
        <v>3</v>
      </c>
      <c r="C12" s="82" t="str">
        <f>IFERROR(VLOOKUP("*"&amp;C4&amp;"*",'DADOS CLIENTES'!A:D,4,0),"ERRO")</f>
        <v>Logística@minhaempresa.com</v>
      </c>
      <c r="D12" s="4"/>
      <c r="E12" s="6" t="s">
        <v>10</v>
      </c>
      <c r="F12" s="81">
        <f>IF(F11&gt;0,F9/F11,0)</f>
        <v>608.33333333333337</v>
      </c>
      <c r="G12" s="74">
        <v>6</v>
      </c>
      <c r="H12" s="22">
        <f t="shared" si="2"/>
        <v>45254</v>
      </c>
      <c r="I12" s="16">
        <f t="shared" si="0"/>
        <v>608.33333333333337</v>
      </c>
      <c r="J12" s="13">
        <v>12</v>
      </c>
      <c r="K12" s="22" t="str">
        <f t="shared" si="3"/>
        <v/>
      </c>
      <c r="L12" s="19" t="str">
        <f t="shared" si="1"/>
        <v/>
      </c>
      <c r="M12" s="4"/>
      <c r="N12" s="2"/>
    </row>
    <row r="13" spans="1:14" ht="15.75" thickBot="1">
      <c r="A13" s="2"/>
      <c r="B13" s="4"/>
      <c r="C13" s="4"/>
      <c r="D13" s="4"/>
      <c r="E13" s="6"/>
      <c r="F13" s="4"/>
      <c r="G13" s="4"/>
      <c r="H13" s="4"/>
      <c r="I13" s="4"/>
      <c r="J13" s="4"/>
      <c r="K13" s="4"/>
      <c r="L13" s="4"/>
      <c r="M13" s="4"/>
      <c r="N13" s="2"/>
    </row>
    <row r="14" spans="1:14" ht="15.75" thickBot="1">
      <c r="A14" s="2"/>
      <c r="B14" s="5" t="s">
        <v>15</v>
      </c>
      <c r="C14" s="83">
        <f>IFERROR(VLOOKUP("*"&amp;C4&amp;"*",'DADOS CLIENTES'!A:V,5,0),"ERRO")</f>
        <v>43605</v>
      </c>
      <c r="D14" s="4"/>
      <c r="E14" s="6"/>
      <c r="F14" s="4"/>
      <c r="G14" s="4"/>
      <c r="H14" s="4"/>
      <c r="I14" s="4"/>
      <c r="J14" s="4"/>
      <c r="K14" s="4"/>
      <c r="L14" s="4"/>
      <c r="M14" s="4"/>
      <c r="N14" s="2"/>
    </row>
    <row r="15" spans="1:14">
      <c r="A15" s="2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2"/>
    </row>
    <row r="16" spans="1:14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</sheetData>
  <mergeCells count="3">
    <mergeCell ref="G6:L6"/>
    <mergeCell ref="J4:K4"/>
    <mergeCell ref="G4:I4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D04AB9-AA17-4570-9047-8CB55817504A}">
          <x14:formula1>
            <xm:f>'DADOS FUNCIONÁRIOS'!$A$2:$A$25</xm:f>
          </x14:formula1>
          <xm:sqref>F8 G4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sheetPr codeName="Planilha3"/>
  <dimension ref="A1:M2"/>
  <sheetViews>
    <sheetView workbookViewId="0">
      <selection activeCell="A2" sqref="A2:C2"/>
    </sheetView>
  </sheetViews>
  <sheetFormatPr defaultRowHeight="15"/>
  <cols>
    <col min="1" max="1" width="13.140625" customWidth="1"/>
    <col min="2" max="2" width="10.5703125" customWidth="1"/>
    <col min="3" max="3" width="15.5703125" bestFit="1" customWidth="1"/>
    <col min="4" max="4" width="13.5703125" customWidth="1"/>
    <col min="5" max="5" width="18.140625" bestFit="1" customWidth="1"/>
    <col min="6" max="6" width="15.140625" bestFit="1" customWidth="1"/>
    <col min="7" max="7" width="12.140625" style="9" bestFit="1" customWidth="1"/>
    <col min="8" max="8" width="9.85546875" customWidth="1"/>
    <col min="9" max="9" width="15.42578125" bestFit="1" customWidth="1"/>
    <col min="10" max="10" width="12.7109375" bestFit="1" customWidth="1"/>
    <col min="11" max="11" width="13.28515625" bestFit="1" customWidth="1"/>
    <col min="12" max="12" width="16.85546875" bestFit="1" customWidth="1"/>
    <col min="13" max="13" width="17.42578125" bestFit="1" customWidth="1"/>
  </cols>
  <sheetData>
    <row r="1" spans="1:13" ht="15.75" thickBot="1">
      <c r="A1" s="24" t="s">
        <v>5</v>
      </c>
      <c r="B1" s="25" t="s">
        <v>1</v>
      </c>
      <c r="C1" s="25" t="s">
        <v>6</v>
      </c>
      <c r="D1" s="25" t="s">
        <v>11</v>
      </c>
      <c r="E1" s="25" t="s">
        <v>12</v>
      </c>
      <c r="F1" s="25" t="s">
        <v>24</v>
      </c>
      <c r="G1" s="70" t="s">
        <v>7</v>
      </c>
      <c r="H1" s="25" t="s">
        <v>77</v>
      </c>
      <c r="I1" s="25" t="s">
        <v>9</v>
      </c>
      <c r="J1" s="25" t="s">
        <v>20</v>
      </c>
      <c r="K1" s="25" t="s">
        <v>21</v>
      </c>
      <c r="L1" s="25" t="s">
        <v>22</v>
      </c>
      <c r="M1" s="26" t="s">
        <v>23</v>
      </c>
    </row>
    <row r="2" spans="1:13" ht="15.75" thickBot="1">
      <c r="A2" s="89">
        <v>12790015618</v>
      </c>
      <c r="B2" s="90"/>
      <c r="C2" s="91"/>
      <c r="D2" s="99"/>
      <c r="E2" s="99"/>
      <c r="F2" s="99"/>
      <c r="G2" s="100"/>
      <c r="H2" s="99"/>
      <c r="I2" s="99"/>
      <c r="J2" s="99"/>
      <c r="K2" s="99"/>
      <c r="L2" s="99"/>
      <c r="M2" s="99"/>
    </row>
  </sheetData>
  <autoFilter ref="A1:M1" xr:uid="{0AEDBB6B-BD16-4B33-8CC1-8281D4967915}"/>
  <mergeCells count="1">
    <mergeCell ref="A2:C2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7F238-350C-44EA-ABE3-E3E39DD6B7FA}">
  <sheetPr codeName="Planilha6"/>
  <dimension ref="A1:G4"/>
  <sheetViews>
    <sheetView workbookViewId="0">
      <pane ySplit="1" topLeftCell="A2" activePane="bottomLeft" state="frozen"/>
      <selection pane="bottomLeft" activeCell="E2" sqref="E2"/>
    </sheetView>
  </sheetViews>
  <sheetFormatPr defaultRowHeight="15"/>
  <cols>
    <col min="1" max="1" width="14.42578125" customWidth="1"/>
    <col min="2" max="2" width="14.140625" bestFit="1" customWidth="1"/>
    <col min="3" max="3" width="13.5703125" customWidth="1"/>
    <col min="4" max="4" width="18.140625" bestFit="1" customWidth="1"/>
    <col min="5" max="5" width="15.140625" bestFit="1" customWidth="1"/>
    <col min="6" max="6" width="16.85546875" bestFit="1" customWidth="1"/>
    <col min="7" max="7" width="17.42578125" bestFit="1" customWidth="1"/>
  </cols>
  <sheetData>
    <row r="1" spans="1:7" ht="15.75" thickBot="1">
      <c r="A1" s="24" t="s">
        <v>5</v>
      </c>
      <c r="B1" s="25" t="s">
        <v>1</v>
      </c>
      <c r="C1" s="25" t="s">
        <v>11</v>
      </c>
      <c r="D1" s="25" t="s">
        <v>12</v>
      </c>
      <c r="E1" s="25" t="s">
        <v>26</v>
      </c>
      <c r="F1" s="25" t="s">
        <v>22</v>
      </c>
      <c r="G1" s="26" t="s">
        <v>23</v>
      </c>
    </row>
    <row r="2" spans="1:7">
      <c r="A2" s="31" t="s">
        <v>27</v>
      </c>
      <c r="B2" s="32">
        <v>8244227427</v>
      </c>
      <c r="C2" s="9">
        <v>44938</v>
      </c>
      <c r="D2" s="9">
        <v>45058</v>
      </c>
      <c r="E2" s="23">
        <v>34</v>
      </c>
      <c r="F2" t="str">
        <f>TEXT(D2,"MMMM")</f>
        <v>maio</v>
      </c>
      <c r="G2" t="str">
        <f>TEXT(D2,"AAAA")</f>
        <v>2023</v>
      </c>
    </row>
    <row r="3" spans="1:7">
      <c r="A3" s="31" t="s">
        <v>27</v>
      </c>
      <c r="B3" s="32">
        <v>8244227427</v>
      </c>
      <c r="C3" s="9">
        <v>44938</v>
      </c>
      <c r="D3" s="9">
        <v>45089</v>
      </c>
      <c r="E3" s="23">
        <v>35</v>
      </c>
      <c r="F3" t="str">
        <f>TEXT(D3,"MMMM")</f>
        <v>junho</v>
      </c>
      <c r="G3" t="str">
        <f>TEXT(D3,"AAAA")</f>
        <v>2023</v>
      </c>
    </row>
    <row r="4" spans="1:7">
      <c r="A4" s="31" t="s">
        <v>27</v>
      </c>
      <c r="B4" s="32">
        <v>8244227427</v>
      </c>
      <c r="C4" s="9">
        <v>44938</v>
      </c>
      <c r="D4" s="9">
        <v>45150</v>
      </c>
      <c r="E4" s="23">
        <v>53</v>
      </c>
      <c r="F4" t="str">
        <f t="shared" ref="F4" si="0">TEXT(D4,"MMMM")</f>
        <v>agosto</v>
      </c>
      <c r="G4" t="str">
        <f t="shared" ref="G4" si="1">TEXT(D4,"AAAA")</f>
        <v>2023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7203-2F46-4BC3-822E-A83A543CBC26}">
  <sheetPr codeName="Planilha7"/>
  <dimension ref="C1:P76"/>
  <sheetViews>
    <sheetView showGridLines="0" showRowColHeaders="0" workbookViewId="0"/>
  </sheetViews>
  <sheetFormatPr defaultRowHeight="15"/>
  <cols>
    <col min="1" max="1" width="3.140625" customWidth="1"/>
    <col min="2" max="2" width="2.7109375" customWidth="1"/>
    <col min="3" max="3" width="11.5703125" bestFit="1" customWidth="1"/>
    <col min="4" max="4" width="2" customWidth="1"/>
    <col min="5" max="5" width="8.42578125" customWidth="1"/>
    <col min="6" max="6" width="15.85546875" style="57" bestFit="1" customWidth="1"/>
    <col min="7" max="7" width="16.42578125" style="57" bestFit="1" customWidth="1"/>
    <col min="8" max="8" width="19.42578125" style="57" bestFit="1" customWidth="1"/>
    <col min="9" max="9" width="4.140625" style="57" customWidth="1"/>
    <col min="10" max="10" width="17.5703125" style="56" bestFit="1" customWidth="1"/>
    <col min="11" max="11" width="10.140625" style="56" bestFit="1" customWidth="1"/>
    <col min="12" max="12" width="14.28515625" style="56" bestFit="1" customWidth="1"/>
    <col min="13" max="14" width="16.7109375" style="56" bestFit="1" customWidth="1"/>
    <col min="15" max="15" width="16.7109375" bestFit="1" customWidth="1"/>
    <col min="16" max="16" width="16.140625" bestFit="1" customWidth="1"/>
    <col min="17" max="17" width="16.7109375" bestFit="1" customWidth="1"/>
  </cols>
  <sheetData>
    <row r="1" spans="3:16" ht="53.1" customHeight="1"/>
    <row r="2" spans="3:16" ht="18.75">
      <c r="C2" s="54"/>
      <c r="E2" s="55"/>
      <c r="F2"/>
      <c r="G2"/>
      <c r="H2"/>
      <c r="N2" s="58"/>
      <c r="O2" s="55"/>
      <c r="P2" s="55"/>
    </row>
    <row r="3" spans="3:16" ht="18.75">
      <c r="C3" s="54"/>
      <c r="F3"/>
      <c r="G3"/>
      <c r="H3"/>
      <c r="J3"/>
      <c r="K3"/>
      <c r="L3"/>
      <c r="M3"/>
      <c r="N3"/>
    </row>
    <row r="4" spans="3:16">
      <c r="F4"/>
      <c r="G4"/>
      <c r="H4"/>
      <c r="J4"/>
      <c r="K4"/>
      <c r="L4"/>
      <c r="M4"/>
      <c r="N4"/>
    </row>
    <row r="5" spans="3:16">
      <c r="F5"/>
      <c r="G5"/>
      <c r="H5"/>
      <c r="J5"/>
      <c r="K5"/>
      <c r="L5"/>
      <c r="M5"/>
      <c r="N5"/>
    </row>
    <row r="6" spans="3:16">
      <c r="F6"/>
      <c r="G6"/>
      <c r="H6"/>
      <c r="J6"/>
      <c r="K6"/>
      <c r="L6"/>
      <c r="M6"/>
      <c r="N6"/>
    </row>
    <row r="7" spans="3:16">
      <c r="F7"/>
      <c r="G7"/>
      <c r="H7"/>
      <c r="J7"/>
      <c r="K7"/>
      <c r="L7"/>
      <c r="M7"/>
      <c r="N7"/>
    </row>
    <row r="8" spans="3:16">
      <c r="F8"/>
      <c r="G8"/>
      <c r="H8"/>
      <c r="J8"/>
      <c r="K8"/>
      <c r="L8"/>
      <c r="M8"/>
      <c r="N8"/>
    </row>
    <row r="9" spans="3:16">
      <c r="F9"/>
      <c r="G9"/>
      <c r="H9"/>
      <c r="J9"/>
      <c r="K9"/>
      <c r="L9"/>
      <c r="M9"/>
      <c r="N9"/>
    </row>
    <row r="10" spans="3:16">
      <c r="F10"/>
      <c r="G10"/>
      <c r="H10"/>
      <c r="J10"/>
      <c r="K10"/>
      <c r="L10"/>
      <c r="M10"/>
      <c r="N10"/>
    </row>
    <row r="11" spans="3:16">
      <c r="F11"/>
      <c r="G11"/>
      <c r="H11"/>
      <c r="J11"/>
      <c r="K11"/>
      <c r="L11"/>
      <c r="M11"/>
      <c r="N11"/>
    </row>
    <row r="12" spans="3:16">
      <c r="F12"/>
      <c r="G12"/>
      <c r="H12"/>
      <c r="J12"/>
      <c r="K12"/>
      <c r="L12"/>
      <c r="M12"/>
      <c r="N12"/>
    </row>
    <row r="13" spans="3:16">
      <c r="F13"/>
      <c r="G13"/>
      <c r="H13"/>
      <c r="J13"/>
      <c r="K13"/>
      <c r="L13"/>
      <c r="M13"/>
      <c r="N13"/>
    </row>
    <row r="14" spans="3:16">
      <c r="F14"/>
      <c r="G14"/>
      <c r="H14"/>
      <c r="J14"/>
      <c r="K14"/>
      <c r="L14"/>
      <c r="M14"/>
      <c r="N14"/>
    </row>
    <row r="15" spans="3:16">
      <c r="F15"/>
      <c r="G15"/>
      <c r="H15"/>
      <c r="I15" s="29"/>
      <c r="J15"/>
      <c r="K15"/>
      <c r="L15"/>
      <c r="M15"/>
      <c r="N15"/>
      <c r="O15" s="29"/>
      <c r="P15" s="30"/>
    </row>
    <row r="16" spans="3:16">
      <c r="F16"/>
      <c r="G16"/>
      <c r="H16"/>
      <c r="I16" s="29"/>
      <c r="J16"/>
      <c r="K16"/>
      <c r="L16"/>
      <c r="M16"/>
      <c r="N16"/>
      <c r="O16" s="29"/>
      <c r="P16" s="30"/>
    </row>
    <row r="17" spans="6:16">
      <c r="F17" s="29"/>
      <c r="G17" s="29"/>
      <c r="H17" s="29"/>
      <c r="I17" s="29"/>
      <c r="J17"/>
      <c r="K17"/>
      <c r="L17"/>
      <c r="M17"/>
      <c r="N17"/>
      <c r="O17" s="29"/>
      <c r="P17" s="30"/>
    </row>
    <row r="18" spans="6:16">
      <c r="F18" s="29"/>
      <c r="G18" s="29"/>
      <c r="H18" s="29"/>
      <c r="I18" s="29"/>
      <c r="J18"/>
      <c r="K18"/>
      <c r="L18"/>
      <c r="M18"/>
      <c r="N18"/>
      <c r="O18" s="29"/>
      <c r="P18" s="30"/>
    </row>
    <row r="19" spans="6:16">
      <c r="F19" s="29"/>
      <c r="G19" s="29"/>
      <c r="H19" s="29"/>
      <c r="I19" s="29"/>
      <c r="J19"/>
      <c r="K19"/>
      <c r="L19"/>
      <c r="M19"/>
      <c r="N19"/>
      <c r="O19" s="29"/>
      <c r="P19" s="30"/>
    </row>
    <row r="20" spans="6:16">
      <c r="F20" s="29"/>
      <c r="G20" s="29"/>
      <c r="H20" s="29"/>
      <c r="I20" s="29"/>
      <c r="J20"/>
      <c r="K20"/>
      <c r="L20"/>
      <c r="M20"/>
      <c r="N20"/>
      <c r="O20" s="29"/>
      <c r="P20" s="30"/>
    </row>
    <row r="21" spans="6:16">
      <c r="F21" s="29"/>
      <c r="G21" s="29"/>
      <c r="H21" s="29"/>
      <c r="I21" s="29"/>
      <c r="J21"/>
      <c r="K21"/>
      <c r="L21"/>
      <c r="M21"/>
      <c r="N21"/>
      <c r="O21" s="29"/>
      <c r="P21" s="30"/>
    </row>
    <row r="22" spans="6:16">
      <c r="F22" s="29"/>
      <c r="G22" s="29"/>
      <c r="H22" s="29"/>
      <c r="I22" s="29"/>
      <c r="J22"/>
      <c r="K22"/>
      <c r="L22"/>
      <c r="M22"/>
      <c r="N22"/>
      <c r="O22" s="29"/>
      <c r="P22" s="30"/>
    </row>
    <row r="23" spans="6:16">
      <c r="F23" s="29"/>
      <c r="G23" s="29"/>
      <c r="H23" s="29"/>
      <c r="I23" s="29"/>
      <c r="J23"/>
      <c r="K23"/>
      <c r="L23"/>
      <c r="M23"/>
      <c r="N23"/>
      <c r="O23" s="29"/>
      <c r="P23" s="30"/>
    </row>
    <row r="24" spans="6:16">
      <c r="F24" s="29"/>
      <c r="G24" s="29"/>
      <c r="H24" s="29"/>
      <c r="I24" s="29"/>
      <c r="J24"/>
      <c r="K24"/>
      <c r="L24"/>
      <c r="M24"/>
      <c r="N24"/>
      <c r="O24" s="29"/>
      <c r="P24" s="30"/>
    </row>
    <row r="25" spans="6:16">
      <c r="F25" s="29"/>
      <c r="G25" s="29"/>
      <c r="H25" s="29"/>
      <c r="I25" s="29"/>
      <c r="J25"/>
      <c r="K25"/>
      <c r="L25"/>
      <c r="M25"/>
      <c r="N25"/>
      <c r="O25" s="29"/>
      <c r="P25" s="30"/>
    </row>
    <row r="26" spans="6:16">
      <c r="F26" s="29"/>
      <c r="G26" s="29"/>
      <c r="H26" s="29"/>
      <c r="I26" s="29"/>
      <c r="J26"/>
      <c r="K26"/>
      <c r="L26"/>
      <c r="M26"/>
      <c r="N26"/>
      <c r="O26" s="29"/>
      <c r="P26" s="30"/>
    </row>
    <row r="27" spans="6:16">
      <c r="J27"/>
      <c r="K27"/>
      <c r="L27"/>
      <c r="M27"/>
      <c r="N27"/>
    </row>
    <row r="28" spans="6:16">
      <c r="J28"/>
      <c r="K28"/>
      <c r="L28"/>
      <c r="M28"/>
      <c r="N28"/>
    </row>
    <row r="29" spans="6:16">
      <c r="J29"/>
      <c r="K29"/>
      <c r="L29"/>
      <c r="M29"/>
      <c r="N29"/>
    </row>
    <row r="30" spans="6:16">
      <c r="J30"/>
      <c r="K30"/>
      <c r="L30"/>
      <c r="M30"/>
      <c r="N30"/>
    </row>
    <row r="31" spans="6:16">
      <c r="J31"/>
      <c r="K31"/>
      <c r="L31"/>
      <c r="M31"/>
      <c r="N31"/>
    </row>
    <row r="32" spans="6:16">
      <c r="J32"/>
      <c r="K32"/>
      <c r="L32"/>
      <c r="M32"/>
      <c r="N32"/>
    </row>
    <row r="33" spans="10:14">
      <c r="J33"/>
      <c r="K33"/>
      <c r="L33"/>
      <c r="M33"/>
      <c r="N33"/>
    </row>
    <row r="34" spans="10:14">
      <c r="J34"/>
      <c r="K34"/>
      <c r="L34"/>
      <c r="M34"/>
      <c r="N34"/>
    </row>
    <row r="35" spans="10:14">
      <c r="J35"/>
      <c r="K35"/>
      <c r="L35"/>
      <c r="M35"/>
      <c r="N35"/>
    </row>
    <row r="36" spans="10:14">
      <c r="J36"/>
      <c r="K36"/>
      <c r="L36"/>
      <c r="M36"/>
      <c r="N36"/>
    </row>
    <row r="37" spans="10:14">
      <c r="J37"/>
      <c r="K37"/>
      <c r="L37"/>
      <c r="M37"/>
      <c r="N37"/>
    </row>
    <row r="38" spans="10:14">
      <c r="J38"/>
      <c r="K38"/>
      <c r="L38"/>
      <c r="M38"/>
      <c r="N38"/>
    </row>
    <row r="39" spans="10:14">
      <c r="J39"/>
      <c r="K39"/>
      <c r="L39"/>
      <c r="M39"/>
      <c r="N39"/>
    </row>
    <row r="40" spans="10:14">
      <c r="J40"/>
      <c r="K40"/>
      <c r="L40"/>
      <c r="M40"/>
      <c r="N40"/>
    </row>
    <row r="41" spans="10:14">
      <c r="J41"/>
      <c r="K41"/>
      <c r="L41"/>
      <c r="M41"/>
      <c r="N41"/>
    </row>
    <row r="42" spans="10:14">
      <c r="J42"/>
      <c r="K42"/>
      <c r="L42"/>
      <c r="M42"/>
      <c r="N42"/>
    </row>
    <row r="43" spans="10:14">
      <c r="J43"/>
      <c r="K43"/>
      <c r="L43"/>
      <c r="M43"/>
      <c r="N43"/>
    </row>
    <row r="44" spans="10:14">
      <c r="J44"/>
      <c r="K44"/>
      <c r="L44"/>
      <c r="M44"/>
      <c r="N44"/>
    </row>
    <row r="45" spans="10:14">
      <c r="J45"/>
      <c r="K45"/>
      <c r="L45"/>
      <c r="M45"/>
      <c r="N45"/>
    </row>
    <row r="46" spans="10:14">
      <c r="J46"/>
      <c r="K46"/>
      <c r="L46"/>
      <c r="M46"/>
      <c r="N46"/>
    </row>
    <row r="47" spans="10:14">
      <c r="J47"/>
      <c r="K47"/>
      <c r="L47"/>
      <c r="M47"/>
      <c r="N47"/>
    </row>
    <row r="48" spans="10:14">
      <c r="J48"/>
      <c r="K48"/>
      <c r="L48"/>
      <c r="M48"/>
      <c r="N48"/>
    </row>
    <row r="49" spans="10:14">
      <c r="J49"/>
      <c r="K49"/>
      <c r="L49"/>
      <c r="M49"/>
      <c r="N49"/>
    </row>
    <row r="50" spans="10:14">
      <c r="J50"/>
      <c r="K50"/>
      <c r="L50"/>
      <c r="M50"/>
      <c r="N50"/>
    </row>
    <row r="51" spans="10:14">
      <c r="J51"/>
      <c r="K51"/>
      <c r="L51"/>
      <c r="M51"/>
      <c r="N51"/>
    </row>
    <row r="52" spans="10:14">
      <c r="J52"/>
      <c r="K52"/>
      <c r="L52"/>
      <c r="M52"/>
      <c r="N52"/>
    </row>
    <row r="53" spans="10:14">
      <c r="J53"/>
      <c r="K53"/>
      <c r="L53"/>
      <c r="M53"/>
      <c r="N53"/>
    </row>
    <row r="54" spans="10:14">
      <c r="J54"/>
      <c r="K54"/>
      <c r="L54"/>
      <c r="M54"/>
      <c r="N54"/>
    </row>
    <row r="55" spans="10:14">
      <c r="J55"/>
      <c r="K55"/>
      <c r="L55"/>
      <c r="M55"/>
      <c r="N55"/>
    </row>
    <row r="56" spans="10:14">
      <c r="J56"/>
      <c r="K56"/>
      <c r="L56"/>
      <c r="M56"/>
      <c r="N56"/>
    </row>
    <row r="57" spans="10:14">
      <c r="J57"/>
      <c r="K57"/>
      <c r="L57"/>
      <c r="M57"/>
      <c r="N57"/>
    </row>
    <row r="58" spans="10:14">
      <c r="J58"/>
      <c r="K58"/>
      <c r="L58"/>
      <c r="M58"/>
      <c r="N58"/>
    </row>
    <row r="59" spans="10:14">
      <c r="J59"/>
      <c r="K59"/>
      <c r="L59"/>
      <c r="M59"/>
      <c r="N59"/>
    </row>
    <row r="60" spans="10:14">
      <c r="J60"/>
      <c r="K60"/>
      <c r="L60"/>
      <c r="M60"/>
      <c r="N60"/>
    </row>
    <row r="61" spans="10:14">
      <c r="J61"/>
      <c r="K61"/>
      <c r="L61"/>
      <c r="M61"/>
      <c r="N61"/>
    </row>
    <row r="62" spans="10:14">
      <c r="J62"/>
      <c r="K62"/>
      <c r="L62"/>
      <c r="M62"/>
      <c r="N62"/>
    </row>
    <row r="63" spans="10:14">
      <c r="J63"/>
      <c r="K63"/>
      <c r="L63"/>
      <c r="M63"/>
      <c r="N63"/>
    </row>
    <row r="64" spans="10:14">
      <c r="J64"/>
      <c r="K64"/>
      <c r="L64"/>
      <c r="M64"/>
      <c r="N64"/>
    </row>
    <row r="65" spans="10:14">
      <c r="J65"/>
      <c r="K65"/>
      <c r="L65"/>
      <c r="M65"/>
      <c r="N65"/>
    </row>
    <row r="66" spans="10:14">
      <c r="J66"/>
      <c r="K66"/>
      <c r="L66"/>
      <c r="M66"/>
      <c r="N66"/>
    </row>
    <row r="67" spans="10:14">
      <c r="J67"/>
      <c r="K67"/>
      <c r="L67"/>
      <c r="M67"/>
      <c r="N67"/>
    </row>
    <row r="68" spans="10:14">
      <c r="J68"/>
      <c r="K68"/>
      <c r="L68"/>
      <c r="M68"/>
      <c r="N68"/>
    </row>
    <row r="69" spans="10:14">
      <c r="J69"/>
      <c r="K69"/>
      <c r="L69"/>
      <c r="M69"/>
      <c r="N69"/>
    </row>
    <row r="70" spans="10:14">
      <c r="J70"/>
      <c r="K70"/>
      <c r="L70"/>
      <c r="M70"/>
      <c r="N70"/>
    </row>
    <row r="71" spans="10:14">
      <c r="J71"/>
      <c r="K71"/>
      <c r="L71"/>
      <c r="M71"/>
      <c r="N71"/>
    </row>
    <row r="72" spans="10:14">
      <c r="J72"/>
      <c r="K72"/>
      <c r="L72"/>
      <c r="M72"/>
      <c r="N72"/>
    </row>
    <row r="73" spans="10:14">
      <c r="J73"/>
      <c r="K73"/>
      <c r="L73"/>
      <c r="M73"/>
      <c r="N73"/>
    </row>
    <row r="74" spans="10:14">
      <c r="J74"/>
      <c r="K74"/>
      <c r="L74"/>
      <c r="M74"/>
      <c r="N74"/>
    </row>
    <row r="75" spans="10:14">
      <c r="J75"/>
      <c r="K75"/>
      <c r="L75"/>
      <c r="M75"/>
      <c r="N75"/>
    </row>
    <row r="76" spans="10:14">
      <c r="J76"/>
      <c r="K76"/>
      <c r="L76"/>
      <c r="M76"/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9E2FE-EB31-4E62-A7BE-C79364F5C725}">
  <sheetPr codeName="Planilha8"/>
  <dimension ref="A1:Q18"/>
  <sheetViews>
    <sheetView showGridLines="0" showRowColHeaders="0" workbookViewId="0"/>
  </sheetViews>
  <sheetFormatPr defaultRowHeight="15"/>
  <cols>
    <col min="1" max="1" width="3.140625" customWidth="1"/>
    <col min="2" max="2" width="2.7109375" customWidth="1"/>
    <col min="3" max="3" width="11.5703125" bestFit="1" customWidth="1"/>
    <col min="4" max="4" width="2" customWidth="1"/>
    <col min="5" max="5" width="18" bestFit="1" customWidth="1"/>
    <col min="6" max="6" width="14.42578125" bestFit="1" customWidth="1"/>
    <col min="7" max="7" width="9.5703125" bestFit="1" customWidth="1"/>
    <col min="8" max="8" width="2.42578125" customWidth="1"/>
    <col min="9" max="9" width="18" bestFit="1" customWidth="1"/>
    <col min="10" max="10" width="18.42578125" bestFit="1" customWidth="1"/>
    <col min="11" max="11" width="12.85546875" bestFit="1" customWidth="1"/>
    <col min="12" max="12" width="5" customWidth="1"/>
    <col min="13" max="13" width="21.7109375" bestFit="1" customWidth="1"/>
    <col min="14" max="14" width="14.85546875" customWidth="1"/>
    <col min="15" max="15" width="14.42578125" bestFit="1" customWidth="1"/>
    <col min="16" max="16" width="16.140625" bestFit="1" customWidth="1"/>
    <col min="17" max="17" width="2.5703125" customWidth="1"/>
  </cols>
  <sheetData>
    <row r="1" spans="1:17" ht="54" customHeight="1">
      <c r="A1" s="1"/>
      <c r="B1" s="8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27"/>
    </row>
    <row r="2" spans="1:17" ht="18.75">
      <c r="A2" s="1"/>
      <c r="B2" s="8"/>
      <c r="C2" s="65"/>
      <c r="D2" s="64"/>
      <c r="E2" s="98"/>
      <c r="F2" s="98"/>
      <c r="G2" s="98"/>
      <c r="H2" s="64"/>
      <c r="I2" s="98"/>
      <c r="J2" s="98"/>
      <c r="K2" s="98"/>
      <c r="L2" s="64"/>
      <c r="M2" s="98"/>
      <c r="N2" s="98"/>
      <c r="O2" s="98"/>
      <c r="P2" s="98"/>
      <c r="Q2" s="27"/>
    </row>
    <row r="3" spans="1:17" ht="18.75">
      <c r="A3" s="1"/>
      <c r="B3" s="8"/>
      <c r="C3" s="65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27"/>
    </row>
    <row r="4" spans="1:17">
      <c r="A4" s="1"/>
      <c r="B4" s="8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27"/>
    </row>
    <row r="5" spans="1:17">
      <c r="A5" s="1"/>
      <c r="B5" s="8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27"/>
    </row>
    <row r="6" spans="1:17">
      <c r="A6" s="1"/>
      <c r="B6" s="8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27"/>
    </row>
    <row r="7" spans="1:17">
      <c r="A7" s="1"/>
      <c r="B7" s="8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27"/>
    </row>
    <row r="8" spans="1:17">
      <c r="A8" s="1"/>
      <c r="B8" s="8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27"/>
    </row>
    <row r="9" spans="1:17">
      <c r="A9" s="1"/>
      <c r="B9" s="8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27"/>
    </row>
    <row r="10" spans="1:17">
      <c r="A10" s="1"/>
      <c r="B10" s="8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27"/>
    </row>
    <row r="11" spans="1:17">
      <c r="A11" s="1"/>
      <c r="B11" s="8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27"/>
    </row>
    <row r="12" spans="1:17">
      <c r="A12" s="1"/>
      <c r="B12" s="8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27"/>
    </row>
    <row r="13" spans="1:17">
      <c r="A13" s="1"/>
      <c r="B13" s="8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27"/>
    </row>
    <row r="14" spans="1:17">
      <c r="A14" s="1"/>
      <c r="B14" s="8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27"/>
    </row>
    <row r="15" spans="1:17">
      <c r="A15" s="1"/>
      <c r="B15" s="8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27"/>
    </row>
    <row r="16" spans="1:17">
      <c r="A16" s="1"/>
      <c r="B16" s="8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27"/>
    </row>
    <row r="17" spans="1:17">
      <c r="A17" s="1"/>
      <c r="B17" s="8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27"/>
    </row>
    <row r="18" spans="1:17">
      <c r="A18" s="1"/>
      <c r="B18" s="8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27"/>
    </row>
  </sheetData>
  <mergeCells count="3">
    <mergeCell ref="E2:G2"/>
    <mergeCell ref="I2:K2"/>
    <mergeCell ref="M2:P2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sheetPr codeName="Planilha5"/>
  <dimension ref="A1:D18"/>
  <sheetViews>
    <sheetView showGridLines="0" showRowColHeaders="0" zoomScaleNormal="100" workbookViewId="0"/>
  </sheetViews>
  <sheetFormatPr defaultRowHeight="15"/>
  <cols>
    <col min="1" max="1" width="3.140625" customWidth="1"/>
    <col min="2" max="2" width="2.7109375" customWidth="1"/>
    <col min="3" max="3" width="9" customWidth="1"/>
    <col min="4" max="4" width="6.7109375" bestFit="1" customWidth="1"/>
    <col min="5" max="5" width="10" bestFit="1" customWidth="1"/>
    <col min="6" max="6" width="9.28515625" bestFit="1" customWidth="1"/>
    <col min="7" max="7" width="10.5703125" bestFit="1" customWidth="1"/>
    <col min="8" max="8" width="7.5703125" bestFit="1" customWidth="1"/>
    <col min="9" max="9" width="6.5703125" customWidth="1"/>
    <col min="10" max="10" width="21.7109375" bestFit="1" customWidth="1"/>
    <col min="11" max="11" width="10.28515625" bestFit="1" customWidth="1"/>
    <col min="12" max="12" width="16.28515625" bestFit="1" customWidth="1"/>
    <col min="13" max="13" width="23.85546875" bestFit="1" customWidth="1"/>
    <col min="14" max="14" width="23.42578125" bestFit="1" customWidth="1"/>
    <col min="15" max="15" width="16.28515625" bestFit="1" customWidth="1"/>
    <col min="16" max="16" width="16.140625" bestFit="1" customWidth="1"/>
    <col min="17" max="17" width="2.5703125" customWidth="1"/>
  </cols>
  <sheetData>
    <row r="1" spans="1:4" ht="54" customHeight="1">
      <c r="A1" s="1"/>
    </row>
    <row r="2" spans="1:4" ht="18.75">
      <c r="A2" s="1"/>
      <c r="C2" s="54"/>
      <c r="D2" s="54"/>
    </row>
    <row r="3" spans="1:4">
      <c r="A3" s="1"/>
    </row>
    <row r="4" spans="1:4">
      <c r="A4" s="1"/>
    </row>
    <row r="5" spans="1:4">
      <c r="A5" s="1"/>
    </row>
    <row r="6" spans="1:4">
      <c r="A6" s="1"/>
    </row>
    <row r="7" spans="1:4">
      <c r="A7" s="1"/>
    </row>
    <row r="8" spans="1:4">
      <c r="A8" s="1"/>
    </row>
    <row r="9" spans="1:4">
      <c r="A9" s="1"/>
    </row>
    <row r="10" spans="1:4">
      <c r="A10" s="1"/>
    </row>
    <row r="11" spans="1:4">
      <c r="A11" s="1"/>
    </row>
    <row r="12" spans="1:4">
      <c r="A12" s="1"/>
    </row>
    <row r="13" spans="1:4">
      <c r="A13" s="1"/>
    </row>
    <row r="14" spans="1:4">
      <c r="A14" s="1"/>
    </row>
    <row r="15" spans="1:4">
      <c r="A15" s="1"/>
    </row>
    <row r="16" spans="1:4">
      <c r="A16" s="1"/>
    </row>
    <row r="17" spans="1:1">
      <c r="A17" s="1"/>
    </row>
    <row r="18" spans="1:1">
      <c r="A18" s="1"/>
    </row>
  </sheetData>
  <phoneticPr fontId="8" type="noConversion"/>
  <pageMargins left="0.7" right="0.7" top="0.75" bottom="0.75" header="0.3" footer="0.3"/>
  <pageSetup paperSize="9" scale="6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MENU</vt:lpstr>
      <vt:lpstr>DADOS CLIENTES</vt:lpstr>
      <vt:lpstr>DADOS FUNCIONÁRIOS</vt:lpstr>
      <vt:lpstr>SERVIÇOS</vt:lpstr>
      <vt:lpstr>DADOS VENDAS</vt:lpstr>
      <vt:lpstr>COMISSÕES</vt:lpstr>
      <vt:lpstr>RESUMOS PAGAMENTOS</vt:lpstr>
      <vt:lpstr>RESUMOS COMISSÕES</vt:lpstr>
      <vt:lpstr>RESUMO SERVICOS</vt:lpstr>
      <vt:lpstr>'RESUMO SERVICOS'!Area_de_impressao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Antonio Neto</cp:lastModifiedBy>
  <dcterms:created xsi:type="dcterms:W3CDTF">2015-06-05T18:19:34Z</dcterms:created>
  <dcterms:modified xsi:type="dcterms:W3CDTF">2023-06-26T19:18:28Z</dcterms:modified>
</cp:coreProperties>
</file>