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slicers/slicer1.xml" ContentType="application/vnd.ms-excel.slicer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slicers/slicer2.xml" ContentType="application/vnd.ms-excel.slicer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slicers/slicer3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Luana\Documents\GitHub\ALURA\"/>
    </mc:Choice>
  </mc:AlternateContent>
  <xr:revisionPtr revIDLastSave="0" documentId="13_ncr:1_{7220D193-030D-4765-82FC-E2C1C0671AA7}" xr6:coauthVersionLast="47" xr6:coauthVersionMax="47" xr10:uidLastSave="{00000000-0000-0000-0000-000000000000}"/>
  <bookViews>
    <workbookView xWindow="-110" yWindow="-110" windowWidth="19420" windowHeight="10300" tabRatio="865" xr2:uid="{00000000-000D-0000-FFFF-FFFF00000000}"/>
  </bookViews>
  <sheets>
    <sheet name="MENU" sheetId="10" r:id="rId1"/>
    <sheet name="DADOS CLIENTES" sheetId="4" r:id="rId2"/>
    <sheet name="DADOS FUNCIONÁRIOS" sheetId="6" r:id="rId3"/>
    <sheet name="SERVIÇOS" sheetId="2" r:id="rId4"/>
    <sheet name="DADOS VENDAS" sheetId="3" r:id="rId5"/>
    <sheet name="COMISSÕES" sheetId="7" r:id="rId6"/>
    <sheet name="RESUMOS PAGAMENTOS" sheetId="8" r:id="rId7"/>
    <sheet name="RESUMO SERVICOS" sheetId="5" r:id="rId8"/>
    <sheet name="RESUMOS COMISSÕES" sheetId="9" r:id="rId9"/>
  </sheets>
  <definedNames>
    <definedName name="_xlnm._FilterDatabase" localSheetId="4" hidden="1">'DADOS VENDAS'!$A$1:$M$198</definedName>
    <definedName name="_xlnm._FilterDatabase" localSheetId="0" hidden="1">MENU!#REF!</definedName>
    <definedName name="_xlnm._FilterDatabase" localSheetId="7" hidden="1">'RESUMO SERVICOS'!#REF!</definedName>
    <definedName name="_xlnm._FilterDatabase" localSheetId="8" hidden="1">'RESUMOS COMISSÕES'!#REF!</definedName>
    <definedName name="_xlnm._FilterDatabase" localSheetId="6" hidden="1">'RESUMOS PAGAMENTOS'!#REF!</definedName>
    <definedName name="_xlnm.Print_Area" localSheetId="7">'RESUMO SERVICOS'!$A$1:$N$18</definedName>
    <definedName name="SegmentaçãodeDados_ANO_PAGAMENTO">#N/A</definedName>
    <definedName name="SegmentaçãodeDados_ANO_SERVICO">#N/A</definedName>
    <definedName name="SegmentaçãodeDados_ANO_SERVIÇO">#N/A</definedName>
    <definedName name="SegmentaçãodeDados_MÊS_PAGAMENTO">#N/A</definedName>
    <definedName name="SegmentaçãodeDados_MÊS_SERVICO">#N/A</definedName>
    <definedName name="SegmentaçãodeDados_MÊS_SERVIÇO">#N/A</definedName>
  </definedNames>
  <calcPr calcId="191029"/>
  <pivotCaches>
    <pivotCache cacheId="0" r:id="rId10"/>
    <pivotCache cacheId="14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7" l="1"/>
  <c r="F2" i="7"/>
  <c r="E3" i="7"/>
  <c r="F3" i="7"/>
  <c r="E4" i="7"/>
  <c r="F4" i="7"/>
  <c r="E5" i="7"/>
  <c r="F5" i="7"/>
  <c r="E6" i="7"/>
  <c r="F6" i="7"/>
  <c r="E7" i="7"/>
  <c r="F7" i="7"/>
  <c r="E9" i="7"/>
  <c r="F9" i="7"/>
  <c r="F8" i="7"/>
  <c r="E8" i="7"/>
  <c r="G7" i="2"/>
  <c r="G8" i="2" s="1"/>
  <c r="U3" i="2" s="1"/>
  <c r="F8" i="2"/>
  <c r="C6" i="2"/>
  <c r="C8" i="2"/>
  <c r="C10" i="2"/>
  <c r="C12" i="2"/>
  <c r="H7" i="2"/>
  <c r="L4" i="2"/>
  <c r="F10" i="2" s="1"/>
  <c r="Q2" i="10"/>
  <c r="F12" i="2"/>
  <c r="C14" i="2"/>
  <c r="P3" i="2" l="1"/>
  <c r="U2" i="2"/>
  <c r="V2" i="2"/>
  <c r="V3" i="2"/>
  <c r="X2" i="2"/>
  <c r="W3" i="2"/>
  <c r="W2" i="2"/>
  <c r="X3" i="2"/>
  <c r="S2" i="2"/>
  <c r="Y2" i="2" s="1"/>
  <c r="T2" i="2"/>
  <c r="AB2" i="2" s="1"/>
  <c r="S3" i="2"/>
  <c r="Z3" i="2" s="1"/>
  <c r="R3" i="2"/>
  <c r="Q2" i="2"/>
  <c r="R2" i="2"/>
  <c r="Q3" i="2"/>
  <c r="P2" i="2"/>
  <c r="G9" i="2"/>
  <c r="U4" i="2" l="1"/>
  <c r="V4" i="2"/>
  <c r="Z2" i="2"/>
  <c r="X4" i="2"/>
  <c r="W4" i="2"/>
  <c r="Y3" i="2"/>
  <c r="AA2" i="2"/>
  <c r="R4" i="2"/>
  <c r="S4" i="2"/>
  <c r="Y4" i="2" s="1"/>
  <c r="G10" i="2"/>
  <c r="Q4" i="2"/>
  <c r="P4" i="2"/>
  <c r="I8" i="2"/>
  <c r="I9" i="2"/>
  <c r="I7" i="2"/>
  <c r="U5" i="2" l="1"/>
  <c r="V5" i="2"/>
  <c r="Z4" i="2"/>
  <c r="W5" i="2"/>
  <c r="X5" i="2"/>
  <c r="S5" i="2"/>
  <c r="Y5" i="2" s="1"/>
  <c r="I10" i="2"/>
  <c r="R5" i="2"/>
  <c r="G11" i="2"/>
  <c r="Q5" i="2"/>
  <c r="P5" i="2"/>
  <c r="H8" i="2"/>
  <c r="U6" i="2" l="1"/>
  <c r="V6" i="2"/>
  <c r="Z5" i="2"/>
  <c r="X6" i="2"/>
  <c r="W6" i="2"/>
  <c r="R6" i="2"/>
  <c r="S6" i="2"/>
  <c r="Y6" i="2" s="1"/>
  <c r="H9" i="2"/>
  <c r="T3" i="2"/>
  <c r="G12" i="2"/>
  <c r="Q6" i="2"/>
  <c r="I11" i="2"/>
  <c r="P6" i="2"/>
  <c r="V7" i="2" l="1"/>
  <c r="U7" i="2"/>
  <c r="Z6" i="2"/>
  <c r="AB3" i="2"/>
  <c r="AA3" i="2"/>
  <c r="W7" i="2"/>
  <c r="X7" i="2"/>
  <c r="H10" i="2"/>
  <c r="T5" i="2" s="1"/>
  <c r="T4" i="2"/>
  <c r="R7" i="2"/>
  <c r="S7" i="2"/>
  <c r="Z7" i="2" s="1"/>
  <c r="J7" i="2"/>
  <c r="Q7" i="2"/>
  <c r="P7" i="2"/>
  <c r="I12" i="2"/>
  <c r="V8" i="2" l="1"/>
  <c r="U8" i="2"/>
  <c r="Y7" i="2"/>
  <c r="AA5" i="2"/>
  <c r="AB5" i="2"/>
  <c r="H11" i="2"/>
  <c r="T6" i="2" s="1"/>
  <c r="W8" i="2"/>
  <c r="X8" i="2"/>
  <c r="AA4" i="2"/>
  <c r="AB4" i="2"/>
  <c r="R8" i="2"/>
  <c r="S8" i="2"/>
  <c r="Y8" i="2" s="1"/>
  <c r="Q8" i="2"/>
  <c r="J8" i="2"/>
  <c r="L7" i="2"/>
  <c r="P8" i="2"/>
  <c r="Z8" i="2" l="1"/>
  <c r="H12" i="2"/>
  <c r="T7" i="2" s="1"/>
  <c r="AB7" i="2" s="1"/>
  <c r="U9" i="2"/>
  <c r="V9" i="2"/>
  <c r="AA6" i="2"/>
  <c r="AB6" i="2"/>
  <c r="X9" i="2"/>
  <c r="W9" i="2"/>
  <c r="R9" i="2"/>
  <c r="S9" i="2"/>
  <c r="Z9" i="2" s="1"/>
  <c r="L8" i="2"/>
  <c r="Q9" i="2"/>
  <c r="J9" i="2"/>
  <c r="P9" i="2"/>
  <c r="Y9" i="2" l="1"/>
  <c r="AA7" i="2"/>
  <c r="K7" i="2"/>
  <c r="T8" i="2" s="1"/>
  <c r="AA8" i="2" s="1"/>
  <c r="U10" i="2"/>
  <c r="V10" i="2"/>
  <c r="X10" i="2"/>
  <c r="W10" i="2"/>
  <c r="R10" i="2"/>
  <c r="S10" i="2"/>
  <c r="Y10" i="2" s="1"/>
  <c r="Q10" i="2"/>
  <c r="J10" i="2"/>
  <c r="L9" i="2"/>
  <c r="P10" i="2"/>
  <c r="K8" i="2" l="1"/>
  <c r="T9" i="2" s="1"/>
  <c r="AA9" i="2" s="1"/>
  <c r="Z10" i="2"/>
  <c r="AB8" i="2"/>
  <c r="U11" i="2"/>
  <c r="V11" i="2"/>
  <c r="W11" i="2"/>
  <c r="X11" i="2"/>
  <c r="R11" i="2"/>
  <c r="S11" i="2"/>
  <c r="Z11" i="2" s="1"/>
  <c r="Q11" i="2"/>
  <c r="P11" i="2"/>
  <c r="L10" i="2"/>
  <c r="J11" i="2"/>
  <c r="AB9" i="2" l="1"/>
  <c r="K9" i="2"/>
  <c r="T10" i="2" s="1"/>
  <c r="AB10" i="2" s="1"/>
  <c r="Y11" i="2"/>
  <c r="U12" i="2"/>
  <c r="V12" i="2"/>
  <c r="W12" i="2"/>
  <c r="X12" i="2"/>
  <c r="R12" i="2"/>
  <c r="S12" i="2"/>
  <c r="Y12" i="2" s="1"/>
  <c r="Q12" i="2"/>
  <c r="L11" i="2"/>
  <c r="J12" i="2"/>
  <c r="P12" i="2"/>
  <c r="AA10" i="2" l="1"/>
  <c r="K10" i="2"/>
  <c r="T11" i="2" s="1"/>
  <c r="AB11" i="2" s="1"/>
  <c r="U13" i="2"/>
  <c r="V13" i="2"/>
  <c r="Z12" i="2"/>
  <c r="W13" i="2"/>
  <c r="X13" i="2"/>
  <c r="R13" i="2"/>
  <c r="S13" i="2"/>
  <c r="Y13" i="2" s="1"/>
  <c r="Q13" i="2"/>
  <c r="P13" i="2"/>
  <c r="L12" i="2"/>
  <c r="AA11" i="2" l="1"/>
  <c r="K11" i="2"/>
  <c r="T12" i="2" s="1"/>
  <c r="AA12" i="2" s="1"/>
  <c r="Z13" i="2"/>
  <c r="AB12" i="2" l="1"/>
  <c r="K12" i="2"/>
  <c r="T13" i="2" s="1"/>
  <c r="AA13" i="2" s="1"/>
  <c r="AB13" i="2" l="1"/>
</calcChain>
</file>

<file path=xl/sharedStrings.xml><?xml version="1.0" encoding="utf-8"?>
<sst xmlns="http://schemas.openxmlformats.org/spreadsheetml/2006/main" count="1592" uniqueCount="107">
  <si>
    <t xml:space="preserve">NOME: </t>
  </si>
  <si>
    <t>CPF</t>
  </si>
  <si>
    <t>TELEFONE</t>
  </si>
  <si>
    <t>E-MAIL</t>
  </si>
  <si>
    <t>CLIENTE</t>
  </si>
  <si>
    <t>NOME</t>
  </si>
  <si>
    <t>SERVIÇO</t>
  </si>
  <si>
    <t>PARCELAS</t>
  </si>
  <si>
    <t>PARCELAMENTO</t>
  </si>
  <si>
    <t>VALOR PARCELA</t>
  </si>
  <si>
    <t>Valor da Parcela</t>
  </si>
  <si>
    <t>DATA SERVIÇO</t>
  </si>
  <si>
    <t>SICRANO DA SILVA</t>
  </si>
  <si>
    <t>JOAO NINGUEM</t>
  </si>
  <si>
    <t>DESDE</t>
  </si>
  <si>
    <t>DATA CADASTRO</t>
  </si>
  <si>
    <t>31/02/2021</t>
  </si>
  <si>
    <t>Data do Serviço</t>
  </si>
  <si>
    <t>Num. De Parcelas</t>
  </si>
  <si>
    <t>MÊS SERVIÇO</t>
  </si>
  <si>
    <t>ANO SERVIÇO</t>
  </si>
  <si>
    <t>MÊS PAGAMENTO</t>
  </si>
  <si>
    <t>ANO PAGAMENTO</t>
  </si>
  <si>
    <t>VALOR SERVIÇO</t>
  </si>
  <si>
    <t>ZE DO POVO</t>
  </si>
  <si>
    <t>COMISSÃO</t>
  </si>
  <si>
    <t>Adriane de Carvalho Gomes</t>
  </si>
  <si>
    <t>RH</t>
  </si>
  <si>
    <t>Alon Pinheiro</t>
  </si>
  <si>
    <t>Compras</t>
  </si>
  <si>
    <t>Andressa Rotsztejn</t>
  </si>
  <si>
    <t>Marketing</t>
  </si>
  <si>
    <t>Beatriz Leite Júnior</t>
  </si>
  <si>
    <t>Administrativo</t>
  </si>
  <si>
    <t>Bruna dos Santos Gomes</t>
  </si>
  <si>
    <t>Carolina Codeceira</t>
  </si>
  <si>
    <t>Daniela Muller Braga</t>
  </si>
  <si>
    <t>Logística</t>
  </si>
  <si>
    <t>Elvis de Freitas Derossi</t>
  </si>
  <si>
    <t>Gabrielle Andrade da Silva</t>
  </si>
  <si>
    <t xml:space="preserve">Gustavo de Vasconcelos </t>
  </si>
  <si>
    <t>Isabella Ronfini</t>
  </si>
  <si>
    <t>Juan Fernandes</t>
  </si>
  <si>
    <t>Júlio Fraga</t>
  </si>
  <si>
    <t>Leticia Mesquita</t>
  </si>
  <si>
    <t>Marcela de Freitas</t>
  </si>
  <si>
    <t>Financeiro</t>
  </si>
  <si>
    <t>Marianna Pestana</t>
  </si>
  <si>
    <t xml:space="preserve">Matheus de Souza  </t>
  </si>
  <si>
    <t>Pedro Costa</t>
  </si>
  <si>
    <t>Rafael Machado Cardoso</t>
  </si>
  <si>
    <t>Renan Freire</t>
  </si>
  <si>
    <t>Thaís Ribeiro</t>
  </si>
  <si>
    <t>Victor Ruzza de Carvalho</t>
  </si>
  <si>
    <t>Yuri Araujo Senna</t>
  </si>
  <si>
    <t>Nome</t>
  </si>
  <si>
    <t>CARGO</t>
  </si>
  <si>
    <t>EMAIL</t>
  </si>
  <si>
    <t xml:space="preserve">Diego </t>
  </si>
  <si>
    <t>22222@minhaempresa.com</t>
  </si>
  <si>
    <t>33333@minhaempresa.com</t>
  </si>
  <si>
    <t>1122334445@minhaempresa.com</t>
  </si>
  <si>
    <t>RH@minhaempresa.com</t>
  </si>
  <si>
    <t>Compras@minhaempresa.com</t>
  </si>
  <si>
    <t>Marketing@minhaempresa.com</t>
  </si>
  <si>
    <t>Administrativo@minhaempresa.com</t>
  </si>
  <si>
    <t>Logística@minhaempresa.com</t>
  </si>
  <si>
    <t>Financeiro@minhaempresa.com</t>
  </si>
  <si>
    <t>Admissão</t>
  </si>
  <si>
    <t>Menina das Flores</t>
  </si>
  <si>
    <t>234.778.766-00</t>
  </si>
  <si>
    <t>adm</t>
  </si>
  <si>
    <t>menina@flores</t>
  </si>
  <si>
    <t>Atendente</t>
  </si>
  <si>
    <t>Comissão</t>
  </si>
  <si>
    <t>Valor do Serviço</t>
  </si>
  <si>
    <t>N_PARCELA</t>
  </si>
  <si>
    <t>Menu Principal</t>
  </si>
  <si>
    <t>Antonio Neto</t>
  </si>
  <si>
    <t>346.456.546-00</t>
  </si>
  <si>
    <t>PRODUTOR</t>
  </si>
  <si>
    <t>ANTONIO@PRODUTOR</t>
  </si>
  <si>
    <t>ATENDENTE:</t>
  </si>
  <si>
    <t>PAGAMENTO</t>
  </si>
  <si>
    <t>outra coisa</t>
  </si>
  <si>
    <t>rtetey</t>
  </si>
  <si>
    <t>de nco</t>
  </si>
  <si>
    <t>devlaos</t>
  </si>
  <si>
    <t/>
  </si>
  <si>
    <t>desvanieo</t>
  </si>
  <si>
    <t>(vazio)</t>
  </si>
  <si>
    <t>Total Geral</t>
  </si>
  <si>
    <t>PAGAMENTOS</t>
  </si>
  <si>
    <t>ANO</t>
  </si>
  <si>
    <t>MÊS</t>
  </si>
  <si>
    <t>Nº  - PARCELA</t>
  </si>
  <si>
    <t xml:space="preserve">MÊS </t>
  </si>
  <si>
    <t>VALOR PARCELAS</t>
  </si>
  <si>
    <t>VIAGEM</t>
  </si>
  <si>
    <t>JARDIM</t>
  </si>
  <si>
    <t>Soma de VALOR PARCELA</t>
  </si>
  <si>
    <t>VALOR DOS DOS SERVICOS</t>
  </si>
  <si>
    <t>MÊS SERVICO</t>
  </si>
  <si>
    <t>ANO SERVICO</t>
  </si>
  <si>
    <t>SERVICO</t>
  </si>
  <si>
    <t>BE</t>
  </si>
  <si>
    <t>Soma de COMISSÃO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</si>
</sst>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0&quot;.&quot;000&quot;.&quot;000\-00\ 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DDDDDD"/>
      <name val="Arial Unicode MS"/>
    </font>
    <font>
      <b/>
      <sz val="10"/>
      <color rgb="FFF92672"/>
      <name val="Arial Unicode MS"/>
    </font>
    <font>
      <sz val="48"/>
      <color rgb="FFC00000"/>
      <name val="Calibri"/>
      <family val="2"/>
      <scheme val="minor"/>
    </font>
    <font>
      <sz val="14"/>
      <color theme="1"/>
      <name val="Franklin Gothic Demi Cond"/>
      <family val="2"/>
    </font>
    <font>
      <b/>
      <sz val="11"/>
      <color rgb="FFFFFF0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9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3" fillId="3" borderId="0" xfId="0" applyFont="1" applyFill="1" applyAlignment="1">
      <alignment vertical="center"/>
    </xf>
    <xf numFmtId="0" fontId="3" fillId="3" borderId="0" xfId="0" applyFont="1" applyFill="1" applyAlignment="1">
      <alignment horizontal="right" vertical="center"/>
    </xf>
    <xf numFmtId="0" fontId="2" fillId="0" borderId="0" xfId="2"/>
    <xf numFmtId="0" fontId="0" fillId="3" borderId="0" xfId="0" applyFill="1"/>
    <xf numFmtId="14" fontId="0" fillId="0" borderId="0" xfId="0" applyNumberFormat="1"/>
    <xf numFmtId="14" fontId="0" fillId="0" borderId="0" xfId="0" applyNumberFormat="1" applyAlignment="1">
      <alignment horizontal="center"/>
    </xf>
    <xf numFmtId="44" fontId="4" fillId="4" borderId="8" xfId="1" applyFont="1" applyFill="1" applyBorder="1" applyAlignment="1">
      <alignment horizontal="center" vertical="center"/>
    </xf>
    <xf numFmtId="44" fontId="4" fillId="4" borderId="5" xfId="1" applyFont="1" applyFill="1" applyBorder="1" applyAlignment="1">
      <alignment horizontal="center" vertical="center"/>
    </xf>
    <xf numFmtId="44" fontId="4" fillId="4" borderId="11" xfId="1" applyFont="1" applyFill="1" applyBorder="1" applyAlignment="1">
      <alignment horizontal="center" vertical="center"/>
    </xf>
    <xf numFmtId="44" fontId="4" fillId="4" borderId="9" xfId="1" applyFont="1" applyFill="1" applyBorder="1" applyAlignment="1">
      <alignment horizontal="center" vertical="center"/>
    </xf>
    <xf numFmtId="44" fontId="4" fillId="4" borderId="10" xfId="1" applyFont="1" applyFill="1" applyBorder="1" applyAlignment="1">
      <alignment horizontal="center" vertical="center"/>
    </xf>
    <xf numFmtId="44" fontId="4" fillId="4" borderId="12" xfId="1" applyFont="1" applyFill="1" applyBorder="1" applyAlignment="1">
      <alignment horizontal="center" vertical="center"/>
    </xf>
    <xf numFmtId="14" fontId="5" fillId="3" borderId="8" xfId="0" applyNumberFormat="1" applyFont="1" applyFill="1" applyBorder="1" applyAlignment="1">
      <alignment horizontal="center" vertical="center"/>
    </xf>
    <xf numFmtId="14" fontId="5" fillId="3" borderId="5" xfId="0" applyNumberFormat="1" applyFont="1" applyFill="1" applyBorder="1" applyAlignment="1">
      <alignment horizontal="center" vertical="center"/>
    </xf>
    <xf numFmtId="14" fontId="5" fillId="3" borderId="11" xfId="0" applyNumberFormat="1" applyFont="1" applyFill="1" applyBorder="1" applyAlignment="1">
      <alignment horizontal="center" vertical="center"/>
    </xf>
    <xf numFmtId="43" fontId="0" fillId="0" borderId="0" xfId="3" applyFont="1"/>
    <xf numFmtId="0" fontId="0" fillId="7" borderId="13" xfId="0" applyFill="1" applyBorder="1"/>
    <xf numFmtId="0" fontId="0" fillId="7" borderId="14" xfId="0" applyFill="1" applyBorder="1"/>
    <xf numFmtId="0" fontId="0" fillId="0" borderId="0" xfId="0" applyAlignment="1">
      <alignment horizontal="center"/>
    </xf>
    <xf numFmtId="0" fontId="0" fillId="7" borderId="0" xfId="0" applyFill="1"/>
    <xf numFmtId="0" fontId="0" fillId="0" borderId="5" xfId="0" applyBorder="1"/>
    <xf numFmtId="164" fontId="0" fillId="0" borderId="5" xfId="0" applyNumberFormat="1" applyBorder="1"/>
    <xf numFmtId="0" fontId="9" fillId="0" borderId="16" xfId="0" applyFont="1" applyBorder="1" applyAlignment="1">
      <alignment horizontal="center"/>
    </xf>
    <xf numFmtId="0" fontId="0" fillId="0" borderId="18" xfId="0" applyBorder="1"/>
    <xf numFmtId="0" fontId="0" fillId="0" borderId="20" xfId="0" applyBorder="1"/>
    <xf numFmtId="0" fontId="0" fillId="0" borderId="21" xfId="0" applyBorder="1"/>
    <xf numFmtId="164" fontId="0" fillId="0" borderId="21" xfId="0" applyNumberFormat="1" applyBorder="1"/>
    <xf numFmtId="0" fontId="9" fillId="0" borderId="5" xfId="0" applyFont="1" applyBorder="1" applyAlignment="1">
      <alignment horizontal="center"/>
    </xf>
    <xf numFmtId="9" fontId="0" fillId="0" borderId="0" xfId="0" applyNumberFormat="1"/>
    <xf numFmtId="0" fontId="0" fillId="9" borderId="0" xfId="0" applyFill="1"/>
    <xf numFmtId="0" fontId="0" fillId="9" borderId="18" xfId="0" applyFill="1" applyBorder="1"/>
    <xf numFmtId="0" fontId="0" fillId="9" borderId="5" xfId="0" applyFill="1" applyBorder="1"/>
    <xf numFmtId="14" fontId="0" fillId="9" borderId="19" xfId="0" applyNumberFormat="1" applyFill="1" applyBorder="1" applyAlignment="1">
      <alignment horizontal="center"/>
    </xf>
    <xf numFmtId="164" fontId="0" fillId="9" borderId="5" xfId="0" applyNumberFormat="1" applyFill="1" applyBorder="1"/>
    <xf numFmtId="0" fontId="0" fillId="9" borderId="20" xfId="0" applyFill="1" applyBorder="1"/>
    <xf numFmtId="164" fontId="0" fillId="9" borderId="21" xfId="0" applyNumberFormat="1" applyFill="1" applyBorder="1"/>
    <xf numFmtId="0" fontId="0" fillId="9" borderId="21" xfId="0" applyFill="1" applyBorder="1"/>
    <xf numFmtId="14" fontId="0" fillId="9" borderId="22" xfId="0" applyNumberForma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9" fillId="10" borderId="15" xfId="0" applyFont="1" applyFill="1" applyBorder="1" applyAlignment="1">
      <alignment horizontal="center"/>
    </xf>
    <xf numFmtId="0" fontId="9" fillId="10" borderId="16" xfId="0" applyFont="1" applyFill="1" applyBorder="1" applyAlignment="1">
      <alignment horizontal="center"/>
    </xf>
    <xf numFmtId="0" fontId="9" fillId="10" borderId="17" xfId="0" applyFont="1" applyFill="1" applyBorder="1" applyAlignment="1">
      <alignment horizontal="center"/>
    </xf>
    <xf numFmtId="0" fontId="0" fillId="10" borderId="0" xfId="0" applyFill="1"/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3" fillId="0" borderId="0" xfId="0" applyFont="1" applyAlignment="1">
      <alignment horizontal="left" vertical="center" indent="1"/>
    </xf>
    <xf numFmtId="0" fontId="12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2" fillId="9" borderId="0" xfId="0" applyFont="1" applyFill="1" applyAlignment="1">
      <alignment horizontal="left" vertical="center" indent="1"/>
    </xf>
    <xf numFmtId="0" fontId="0" fillId="9" borderId="0" xfId="0" applyFill="1" applyAlignment="1">
      <alignment horizontal="left" vertical="center" indent="1"/>
    </xf>
    <xf numFmtId="0" fontId="0" fillId="12" borderId="0" xfId="0" applyFill="1"/>
    <xf numFmtId="0" fontId="0" fillId="6" borderId="0" xfId="0" applyFill="1"/>
    <xf numFmtId="0" fontId="0" fillId="6" borderId="0" xfId="0" applyFill="1" applyAlignment="1">
      <alignment horizontal="center"/>
    </xf>
    <xf numFmtId="14" fontId="15" fillId="13" borderId="24" xfId="0" applyNumberFormat="1" applyFont="1" applyFill="1" applyBorder="1"/>
    <xf numFmtId="14" fontId="0" fillId="7" borderId="14" xfId="0" applyNumberFormat="1" applyFill="1" applyBorder="1"/>
    <xf numFmtId="9" fontId="0" fillId="6" borderId="5" xfId="4" applyFont="1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14" fontId="0" fillId="4" borderId="28" xfId="0" applyNumberFormat="1" applyFill="1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44" fontId="6" fillId="4" borderId="28" xfId="1" applyFont="1" applyFill="1" applyBorder="1" applyAlignment="1">
      <alignment horizontal="left" vertical="center"/>
    </xf>
    <xf numFmtId="44" fontId="10" fillId="0" borderId="28" xfId="0" applyNumberFormat="1" applyFont="1" applyBorder="1" applyAlignment="1">
      <alignment horizontal="left" vertical="center"/>
    </xf>
    <xf numFmtId="0" fontId="0" fillId="4" borderId="28" xfId="0" applyFill="1" applyBorder="1" applyAlignment="1">
      <alignment horizontal="center" vertical="center"/>
    </xf>
    <xf numFmtId="44" fontId="6" fillId="4" borderId="29" xfId="1" applyFont="1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/>
    </xf>
    <xf numFmtId="14" fontId="0" fillId="6" borderId="4" xfId="0" applyNumberFormat="1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164" fontId="0" fillId="6" borderId="23" xfId="0" applyNumberFormat="1" applyFill="1" applyBorder="1" applyAlignment="1">
      <alignment horizontal="left" vertical="center"/>
    </xf>
    <xf numFmtId="0" fontId="0" fillId="6" borderId="19" xfId="0" applyFill="1" applyBorder="1" applyAlignment="1">
      <alignment vertical="center"/>
    </xf>
    <xf numFmtId="0" fontId="0" fillId="6" borderId="25" xfId="0" applyFill="1" applyBorder="1" applyAlignment="1">
      <alignment vertical="center"/>
    </xf>
    <xf numFmtId="0" fontId="0" fillId="6" borderId="18" xfId="0" applyFill="1" applyBorder="1" applyAlignment="1">
      <alignment vertical="center"/>
    </xf>
    <xf numFmtId="0" fontId="0" fillId="7" borderId="14" xfId="0" applyFill="1" applyBorder="1" applyAlignment="1">
      <alignment horizontal="center"/>
    </xf>
    <xf numFmtId="0" fontId="0" fillId="7" borderId="30" xfId="0" applyFill="1" applyBorder="1"/>
    <xf numFmtId="0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4" borderId="0" xfId="0" applyFill="1" applyAlignment="1">
      <alignment vertical="center"/>
    </xf>
    <xf numFmtId="14" fontId="0" fillId="14" borderId="0" xfId="0" applyNumberFormat="1" applyFill="1" applyAlignment="1">
      <alignment vertical="center"/>
    </xf>
    <xf numFmtId="44" fontId="0" fillId="14" borderId="0" xfId="1" applyFont="1" applyFill="1" applyAlignment="1">
      <alignment vertical="center"/>
    </xf>
    <xf numFmtId="0" fontId="0" fillId="14" borderId="0" xfId="1" applyNumberFormat="1" applyFont="1" applyFill="1" applyAlignment="1">
      <alignment horizontal="center" vertical="center"/>
    </xf>
    <xf numFmtId="0" fontId="0" fillId="7" borderId="0" xfId="0" applyFill="1" applyAlignment="1">
      <alignment horizontal="center"/>
    </xf>
    <xf numFmtId="14" fontId="0" fillId="7" borderId="0" xfId="0" applyNumberFormat="1" applyFill="1"/>
    <xf numFmtId="14" fontId="0" fillId="7" borderId="14" xfId="0" applyNumberFormat="1" applyFill="1" applyBorder="1" applyAlignment="1">
      <alignment horizontal="center"/>
    </xf>
    <xf numFmtId="14" fontId="0" fillId="7" borderId="0" xfId="0" applyNumberFormat="1" applyFill="1" applyAlignment="1">
      <alignment horizontal="center"/>
    </xf>
    <xf numFmtId="44" fontId="0" fillId="7" borderId="14" xfId="1" applyFont="1" applyFill="1" applyBorder="1"/>
    <xf numFmtId="44" fontId="0" fillId="7" borderId="0" xfId="1" applyFont="1" applyFill="1" applyBorder="1"/>
    <xf numFmtId="44" fontId="0" fillId="0" borderId="0" xfId="1" applyFont="1"/>
    <xf numFmtId="0" fontId="0" fillId="7" borderId="14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0" borderId="0" xfId="0" pivotButton="1"/>
    <xf numFmtId="0" fontId="0" fillId="0" borderId="0" xfId="0" pivotButton="1" applyAlignment="1">
      <alignment horizontal="center"/>
    </xf>
    <xf numFmtId="44" fontId="0" fillId="0" borderId="0" xfId="0" applyNumberFormat="1"/>
    <xf numFmtId="0" fontId="11" fillId="0" borderId="0" xfId="0" applyFont="1" applyAlignment="1">
      <alignment horizontal="center"/>
    </xf>
    <xf numFmtId="44" fontId="0" fillId="0" borderId="0" xfId="0" applyNumberFormat="1" applyAlignment="1">
      <alignment horizontal="center"/>
    </xf>
    <xf numFmtId="0" fontId="16" fillId="3" borderId="26" xfId="0" applyFont="1" applyFill="1" applyBorder="1" applyAlignment="1">
      <alignment horizontal="center" vertical="center"/>
    </xf>
    <xf numFmtId="0" fontId="11" fillId="3" borderId="0" xfId="0" applyFont="1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/>
    </xf>
    <xf numFmtId="0" fontId="11" fillId="3" borderId="0" xfId="0" applyFont="1" applyFill="1" applyAlignment="1">
      <alignment horizontal="center"/>
    </xf>
    <xf numFmtId="0" fontId="11" fillId="3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44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44" fontId="0" fillId="5" borderId="0" xfId="0" applyNumberForma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44" fontId="0" fillId="0" borderId="31" xfId="0" applyNumberFormat="1" applyBorder="1"/>
    <xf numFmtId="44" fontId="0" fillId="0" borderId="32" xfId="0" applyNumberFormat="1" applyBorder="1"/>
    <xf numFmtId="0" fontId="0" fillId="0" borderId="24" xfId="0" pivotButton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4" xfId="0" applyBorder="1"/>
    <xf numFmtId="0" fontId="0" fillId="0" borderId="31" xfId="0" applyBorder="1"/>
    <xf numFmtId="0" fontId="0" fillId="0" borderId="33" xfId="0" applyBorder="1"/>
    <xf numFmtId="0" fontId="0" fillId="0" borderId="24" xfId="0" pivotButton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44" fontId="0" fillId="0" borderId="31" xfId="0" applyNumberFormat="1" applyBorder="1" applyAlignment="1">
      <alignment horizontal="center" vertical="center"/>
    </xf>
    <xf numFmtId="44" fontId="0" fillId="0" borderId="32" xfId="0" applyNumberFormat="1" applyBorder="1" applyAlignment="1">
      <alignment horizontal="center" vertical="center"/>
    </xf>
    <xf numFmtId="44" fontId="18" fillId="0" borderId="33" xfId="0" applyNumberFormat="1" applyFont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8" fillId="17" borderId="0" xfId="0" applyFont="1" applyFill="1" applyAlignment="1">
      <alignment horizontal="center" vertical="center"/>
    </xf>
    <xf numFmtId="0" fontId="0" fillId="17" borderId="0" xfId="0" applyFill="1"/>
    <xf numFmtId="0" fontId="0" fillId="0" borderId="24" xfId="0" pivotButton="1" applyBorder="1"/>
    <xf numFmtId="14" fontId="0" fillId="0" borderId="31" xfId="0" applyNumberFormat="1" applyBorder="1" applyAlignment="1">
      <alignment horizontal="center"/>
    </xf>
    <xf numFmtId="14" fontId="0" fillId="0" borderId="32" xfId="0" applyNumberFormat="1" applyBorder="1" applyAlignment="1">
      <alignment horizontal="center"/>
    </xf>
    <xf numFmtId="14" fontId="0" fillId="0" borderId="33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2" xfId="0" applyBorder="1"/>
    <xf numFmtId="44" fontId="17" fillId="0" borderId="33" xfId="0" applyNumberFormat="1" applyFont="1" applyBorder="1"/>
    <xf numFmtId="0" fontId="14" fillId="6" borderId="1" xfId="0" applyFont="1" applyFill="1" applyBorder="1" applyAlignment="1">
      <alignment horizontal="center"/>
    </xf>
    <xf numFmtId="0" fontId="14" fillId="6" borderId="2" xfId="0" applyFont="1" applyFill="1" applyBorder="1" applyAlignment="1">
      <alignment horizontal="center"/>
    </xf>
    <xf numFmtId="0" fontId="14" fillId="6" borderId="3" xfId="0" applyFont="1" applyFill="1" applyBorder="1" applyAlignment="1">
      <alignment horizont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0" borderId="0" xfId="0" pivotButton="1" applyAlignment="1">
      <alignment vertical="center"/>
    </xf>
    <xf numFmtId="44" fontId="0" fillId="0" borderId="0" xfId="0" applyNumberFormat="1" applyAlignment="1">
      <alignment vertical="center"/>
    </xf>
    <xf numFmtId="0" fontId="0" fillId="0" borderId="0" xfId="0" pivotButton="1" applyAlignment="1">
      <alignment horizontal="center" vertical="center"/>
    </xf>
    <xf numFmtId="0" fontId="0" fillId="7" borderId="34" xfId="0" applyFill="1" applyBorder="1"/>
    <xf numFmtId="0" fontId="0" fillId="7" borderId="0" xfId="0" applyFill="1" applyBorder="1"/>
    <xf numFmtId="0" fontId="0" fillId="7" borderId="0" xfId="0" applyFill="1" applyBorder="1" applyAlignment="1">
      <alignment horizontal="center"/>
    </xf>
    <xf numFmtId="14" fontId="0" fillId="7" borderId="0" xfId="0" applyNumberFormat="1" applyFill="1" applyBorder="1"/>
    <xf numFmtId="14" fontId="0" fillId="7" borderId="0" xfId="0" applyNumberFormat="1" applyFill="1" applyBorder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0" fillId="11" borderId="0" xfId="0" applyFill="1" applyAlignment="1">
      <alignment vertical="center"/>
    </xf>
    <xf numFmtId="0" fontId="0" fillId="8" borderId="0" xfId="0" applyFill="1" applyAlignment="1">
      <alignment vertical="center"/>
    </xf>
    <xf numFmtId="0" fontId="8" fillId="11" borderId="0" xfId="0" applyFont="1" applyFill="1" applyAlignment="1">
      <alignment vertical="center"/>
    </xf>
    <xf numFmtId="0" fontId="0" fillId="0" borderId="0" xfId="0" pivotButton="1" applyAlignment="1">
      <alignment horizontal="right" vertical="center"/>
    </xf>
    <xf numFmtId="0" fontId="0" fillId="8" borderId="0" xfId="0" applyFill="1" applyAlignment="1">
      <alignment horizontal="center" vertical="center"/>
    </xf>
    <xf numFmtId="0" fontId="8" fillId="2" borderId="0" xfId="0" applyFont="1" applyFill="1" applyAlignment="1">
      <alignment vertical="center"/>
    </xf>
    <xf numFmtId="0" fontId="0" fillId="2" borderId="0" xfId="0" applyFill="1" applyAlignment="1">
      <alignment horizontal="center" vertical="center"/>
    </xf>
  </cellXfs>
  <cellStyles count="5">
    <cellStyle name="Hiperlink" xfId="2" builtinId="8"/>
    <cellStyle name="Moeda" xfId="1" builtinId="4"/>
    <cellStyle name="Normal" xfId="0" builtinId="0"/>
    <cellStyle name="Porcentagem" xfId="4" builtinId="5"/>
    <cellStyle name="Vírgula" xfId="3" builtinId="3"/>
  </cellStyles>
  <dxfs count="469"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right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right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right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right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right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right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right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right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right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right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right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right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right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right"/>
    </dxf>
    <dxf>
      <alignment horizontal="center"/>
    </dxf>
    <dxf>
      <alignment horizontal="center"/>
    </dxf>
    <dxf>
      <alignment horizontal="righ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2"/>
      </font>
    </dxf>
    <dxf>
      <font>
        <b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sz val="14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alignment horizontal="center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4" formatCode="_-&quot;R$&quot;\ * #,##0.00_-;\-&quot;R$&quot;\ * #,##0.00_-;_-&quot;R$&quot;\ * &quot;-&quot;??_-;_-@_-"/>
    </dxf>
    <dxf>
      <alignment horizontal="center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Estilo de Tabela 1" pivot="0" count="0" xr9:uid="{40C80014-AE60-407B-84C2-5DD93F2CBE53}"/>
  </tableStyles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microsoft.com/office/2007/relationships/slicerCache" Target="slicerCaches/slicerCache5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microsoft.com/office/2007/relationships/slicerCache" Target="slicerCaches/slicerCache4.xml"/><Relationship Id="rId10" Type="http://schemas.openxmlformats.org/officeDocument/2006/relationships/pivotCacheDefinition" Target="pivotCache/pivotCacheDefinition1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ERVI&#199;OS!A1"/><Relationship Id="rId2" Type="http://schemas.openxmlformats.org/officeDocument/2006/relationships/hyperlink" Target="#'DADOS FUNCION&#193;RIOS'!A1"/><Relationship Id="rId1" Type="http://schemas.openxmlformats.org/officeDocument/2006/relationships/hyperlink" Target="#'DADOS CLIENTES'!A1"/><Relationship Id="rId6" Type="http://schemas.openxmlformats.org/officeDocument/2006/relationships/hyperlink" Target="#'RESUMOS COMISS&#213;ES'!A1"/><Relationship Id="rId5" Type="http://schemas.openxmlformats.org/officeDocument/2006/relationships/hyperlink" Target="#'RESUMOS PAGAMENTOS'!A1"/><Relationship Id="rId4" Type="http://schemas.openxmlformats.org/officeDocument/2006/relationships/hyperlink" Target="#'RESUMO SERVICO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241300</xdr:colOff>
      <xdr:row>4</xdr:row>
      <xdr:rowOff>31750</xdr:rowOff>
    </xdr:from>
    <xdr:to>
      <xdr:col>8</xdr:col>
      <xdr:colOff>140500</xdr:colOff>
      <xdr:row>8</xdr:row>
      <xdr:rowOff>51150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C197F3-2554-0F4D-24C5-2B4CEA3B1F60}"/>
            </a:ext>
          </a:extLst>
        </xdr:cNvPr>
        <xdr:cNvSpPr/>
      </xdr:nvSpPr>
      <xdr:spPr>
        <a:xfrm>
          <a:off x="3060700" y="946150"/>
          <a:ext cx="1728000" cy="756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Clientes</a:t>
          </a:r>
        </a:p>
      </xdr:txBody>
    </xdr:sp>
    <xdr:clientData/>
  </xdr:twoCellAnchor>
  <xdr:twoCellAnchor>
    <xdr:from>
      <xdr:col>8</xdr:col>
      <xdr:colOff>479425</xdr:colOff>
      <xdr:row>4</xdr:row>
      <xdr:rowOff>31750</xdr:rowOff>
    </xdr:from>
    <xdr:to>
      <xdr:col>11</xdr:col>
      <xdr:colOff>378625</xdr:colOff>
      <xdr:row>8</xdr:row>
      <xdr:rowOff>51150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2BADBA-4B0A-4FFB-954E-32300B6ED8AA}"/>
            </a:ext>
          </a:extLst>
        </xdr:cNvPr>
        <xdr:cNvSpPr/>
      </xdr:nvSpPr>
      <xdr:spPr>
        <a:xfrm>
          <a:off x="5127625" y="946150"/>
          <a:ext cx="1728000" cy="756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Funcionários</a:t>
          </a:r>
        </a:p>
      </xdr:txBody>
    </xdr:sp>
    <xdr:clientData/>
  </xdr:twoCellAnchor>
  <xdr:twoCellAnchor>
    <xdr:from>
      <xdr:col>12</xdr:col>
      <xdr:colOff>107950</xdr:colOff>
      <xdr:row>4</xdr:row>
      <xdr:rowOff>31750</xdr:rowOff>
    </xdr:from>
    <xdr:to>
      <xdr:col>15</xdr:col>
      <xdr:colOff>7150</xdr:colOff>
      <xdr:row>8</xdr:row>
      <xdr:rowOff>51150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DA38F5-39A7-482A-8FEC-6614FC5E0E9B}"/>
            </a:ext>
          </a:extLst>
        </xdr:cNvPr>
        <xdr:cNvSpPr/>
      </xdr:nvSpPr>
      <xdr:spPr>
        <a:xfrm>
          <a:off x="7194550" y="946150"/>
          <a:ext cx="1728000" cy="756000"/>
        </a:xfrm>
        <a:prstGeom prst="roundRect">
          <a:avLst/>
        </a:prstGeom>
        <a:solidFill>
          <a:srgbClr val="00206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Serviços</a:t>
          </a:r>
        </a:p>
      </xdr:txBody>
    </xdr:sp>
    <xdr:clientData/>
  </xdr:twoCellAnchor>
  <xdr:twoCellAnchor>
    <xdr:from>
      <xdr:col>5</xdr:col>
      <xdr:colOff>241300</xdr:colOff>
      <xdr:row>11</xdr:row>
      <xdr:rowOff>6175</xdr:rowOff>
    </xdr:from>
    <xdr:to>
      <xdr:col>8</xdr:col>
      <xdr:colOff>140500</xdr:colOff>
      <xdr:row>15</xdr:row>
      <xdr:rowOff>25575</xdr:rowOff>
    </xdr:to>
    <xdr:sp macro="" textlink="">
      <xdr:nvSpPr>
        <xdr:cNvPr id="12" name="Retângulo: Cantos Arredondados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00B713E-9800-40B5-8C55-C260E98FDA50}"/>
            </a:ext>
          </a:extLst>
        </xdr:cNvPr>
        <xdr:cNvSpPr/>
      </xdr:nvSpPr>
      <xdr:spPr>
        <a:xfrm>
          <a:off x="3060700" y="2209625"/>
          <a:ext cx="1728000" cy="7560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Resumo</a:t>
          </a:r>
          <a:r>
            <a:rPr lang="pt-BR" sz="1800" baseline="0"/>
            <a:t> Serviçoes</a:t>
          </a:r>
          <a:endParaRPr lang="pt-BR" sz="1800"/>
        </a:p>
      </xdr:txBody>
    </xdr:sp>
    <xdr:clientData/>
  </xdr:twoCellAnchor>
  <xdr:twoCellAnchor>
    <xdr:from>
      <xdr:col>8</xdr:col>
      <xdr:colOff>475850</xdr:colOff>
      <xdr:row>11</xdr:row>
      <xdr:rowOff>6175</xdr:rowOff>
    </xdr:from>
    <xdr:to>
      <xdr:col>11</xdr:col>
      <xdr:colOff>375050</xdr:colOff>
      <xdr:row>15</xdr:row>
      <xdr:rowOff>25575</xdr:rowOff>
    </xdr:to>
    <xdr:sp macro="" textlink="">
      <xdr:nvSpPr>
        <xdr:cNvPr id="13" name="Retângulo: Cantos Arredondados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7AA725F-89C4-439F-9DAB-9AB2DEC1DD14}"/>
            </a:ext>
          </a:extLst>
        </xdr:cNvPr>
        <xdr:cNvSpPr/>
      </xdr:nvSpPr>
      <xdr:spPr>
        <a:xfrm>
          <a:off x="5124050" y="2209625"/>
          <a:ext cx="1728000" cy="756000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Resumo Pagamentos</a:t>
          </a:r>
        </a:p>
      </xdr:txBody>
    </xdr:sp>
    <xdr:clientData/>
  </xdr:twoCellAnchor>
  <xdr:twoCellAnchor>
    <xdr:from>
      <xdr:col>12</xdr:col>
      <xdr:colOff>100800</xdr:colOff>
      <xdr:row>11</xdr:row>
      <xdr:rowOff>0</xdr:rowOff>
    </xdr:from>
    <xdr:to>
      <xdr:col>15</xdr:col>
      <xdr:colOff>0</xdr:colOff>
      <xdr:row>15</xdr:row>
      <xdr:rowOff>19400</xdr:rowOff>
    </xdr:to>
    <xdr:sp macro="" textlink="">
      <xdr:nvSpPr>
        <xdr:cNvPr id="14" name="Retângulo: Cantos Arredondados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64C048-95C3-4375-B05E-F63499F0F5FF}"/>
            </a:ext>
          </a:extLst>
        </xdr:cNvPr>
        <xdr:cNvSpPr/>
      </xdr:nvSpPr>
      <xdr:spPr>
        <a:xfrm>
          <a:off x="7187400" y="2216150"/>
          <a:ext cx="1728000" cy="756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 cap="none" spc="0">
              <a:ln w="0"/>
              <a:solidFill>
                <a:schemeClr val="bg1">
                  <a:lumMod val="9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Resumo</a:t>
          </a:r>
          <a:r>
            <a:rPr lang="pt-BR" sz="1800" baseline="0">
              <a:solidFill>
                <a:schemeClr val="bg1">
                  <a:lumMod val="95000"/>
                </a:schemeClr>
              </a:solidFill>
            </a:rPr>
            <a:t> comissões</a:t>
          </a:r>
          <a:endParaRPr lang="pt-BR" sz="18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292100</xdr:colOff>
      <xdr:row>2</xdr:row>
      <xdr:rowOff>0</xdr:rowOff>
    </xdr:from>
    <xdr:to>
      <xdr:col>7</xdr:col>
      <xdr:colOff>0</xdr:colOff>
      <xdr:row>6</xdr:row>
      <xdr:rowOff>0</xdr:rowOff>
    </xdr:to>
    <xdr:sp macro="[0]!CADASTRO_CLIENTES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C85EA433-03A4-D048-30EE-FA0A25BF20D0}"/>
            </a:ext>
          </a:extLst>
        </xdr:cNvPr>
        <xdr:cNvSpPr/>
      </xdr:nvSpPr>
      <xdr:spPr>
        <a:xfrm>
          <a:off x="8350250" y="368300"/>
          <a:ext cx="1454150" cy="7366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CADASTRO</a:t>
          </a:r>
          <a:r>
            <a:rPr lang="pt-BR" sz="1200" b="1" baseline="0"/>
            <a:t> </a:t>
          </a:r>
        </a:p>
        <a:p>
          <a:pPr algn="ctr"/>
          <a:r>
            <a:rPr lang="pt-BR" sz="1200" b="1" baseline="0"/>
            <a:t>DE </a:t>
          </a:r>
        </a:p>
        <a:p>
          <a:pPr algn="ctr"/>
          <a:r>
            <a:rPr lang="pt-BR" sz="1200" b="1" baseline="0"/>
            <a:t>CLIENTES</a:t>
          </a:r>
          <a:endParaRPr lang="pt-BR" sz="1200" b="1"/>
        </a:p>
      </xdr:txBody>
    </xdr:sp>
    <xdr:clientData/>
  </xdr:twoCellAnchor>
  <xdr:twoCellAnchor>
    <xdr:from>
      <xdr:col>5</xdr:col>
      <xdr:colOff>279400</xdr:colOff>
      <xdr:row>7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415524-9292-D43B-2C62-AFF4F105B81E}"/>
            </a:ext>
          </a:extLst>
        </xdr:cNvPr>
        <xdr:cNvSpPr/>
      </xdr:nvSpPr>
      <xdr:spPr>
        <a:xfrm>
          <a:off x="8337550" y="12890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1</xdr:row>
      <xdr:rowOff>19050</xdr:rowOff>
    </xdr:from>
    <xdr:to>
      <xdr:col>9</xdr:col>
      <xdr:colOff>0</xdr:colOff>
      <xdr:row>6</xdr:row>
      <xdr:rowOff>0</xdr:rowOff>
    </xdr:to>
    <xdr:sp macro="[0]!CADASTRO_FUNCIONARIOS" textlink="">
      <xdr:nvSpPr>
        <xdr:cNvPr id="2" name="Retângulo: Cantos Diagonais Arredondados 1">
          <a:extLst>
            <a:ext uri="{FF2B5EF4-FFF2-40B4-BE49-F238E27FC236}">
              <a16:creationId xmlns:a16="http://schemas.microsoft.com/office/drawing/2014/main" id="{399CD819-5D9C-2B24-4246-74F4DCEB850D}"/>
            </a:ext>
          </a:extLst>
        </xdr:cNvPr>
        <xdr:cNvSpPr/>
      </xdr:nvSpPr>
      <xdr:spPr>
        <a:xfrm>
          <a:off x="8305800" y="203200"/>
          <a:ext cx="1581150" cy="90170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CADASTRO</a:t>
          </a:r>
        </a:p>
        <a:p>
          <a:pPr algn="ctr"/>
          <a:r>
            <a:rPr lang="pt-BR" sz="1400" b="1" baseline="0"/>
            <a:t> DE</a:t>
          </a:r>
        </a:p>
        <a:p>
          <a:pPr algn="ctr"/>
          <a:r>
            <a:rPr lang="pt-BR" sz="1400" b="1" baseline="0"/>
            <a:t> FUNCINÁRIOS</a:t>
          </a:r>
          <a:endParaRPr lang="pt-BR" sz="1400" b="1"/>
        </a:p>
      </xdr:txBody>
    </xdr:sp>
    <xdr:clientData/>
  </xdr:twoCellAnchor>
  <xdr:twoCellAnchor>
    <xdr:from>
      <xdr:col>6</xdr:col>
      <xdr:colOff>361950</xdr:colOff>
      <xdr:row>7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6B66D2-5408-4F1F-B11A-570691A6C6F5}"/>
            </a:ext>
          </a:extLst>
        </xdr:cNvPr>
        <xdr:cNvSpPr/>
      </xdr:nvSpPr>
      <xdr:spPr>
        <a:xfrm>
          <a:off x="8420100" y="12890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203200</xdr:rowOff>
    </xdr:from>
    <xdr:to>
      <xdr:col>12</xdr:col>
      <xdr:colOff>673100</xdr:colOff>
      <xdr:row>0</xdr:row>
      <xdr:rowOff>660400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E748003-D3F9-4A92-9D76-AD37DBE2312B}"/>
            </a:ext>
          </a:extLst>
        </xdr:cNvPr>
        <xdr:cNvSpPr/>
      </xdr:nvSpPr>
      <xdr:spPr>
        <a:xfrm>
          <a:off x="996950" y="203200"/>
          <a:ext cx="95440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MINHA</a:t>
          </a:r>
          <a:r>
            <a:rPr lang="pt-BR" sz="2400" b="1" baseline="0"/>
            <a:t> EMPRESA S/A</a:t>
          </a:r>
          <a:endParaRPr lang="pt-BR" sz="2400" b="1"/>
        </a:p>
      </xdr:txBody>
    </xdr:sp>
    <xdr:clientData/>
  </xdr:twoCellAnchor>
  <xdr:twoCellAnchor>
    <xdr:from>
      <xdr:col>5</xdr:col>
      <xdr:colOff>247650</xdr:colOff>
      <xdr:row>12</xdr:row>
      <xdr:rowOff>120650</xdr:rowOff>
    </xdr:from>
    <xdr:to>
      <xdr:col>7</xdr:col>
      <xdr:colOff>19700</xdr:colOff>
      <xdr:row>14</xdr:row>
      <xdr:rowOff>116600</xdr:rowOff>
    </xdr:to>
    <xdr:sp macro="[0]!servic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95C2F77-C330-4D99-A627-A9F7E4F5CD5F}"/>
            </a:ext>
          </a:extLst>
        </xdr:cNvPr>
        <xdr:cNvSpPr/>
      </xdr:nvSpPr>
      <xdr:spPr>
        <a:xfrm>
          <a:off x="4619625" y="3663950"/>
          <a:ext cx="1410350" cy="396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CONFIRMAR CADASTRO</a:t>
          </a:r>
        </a:p>
      </xdr:txBody>
    </xdr:sp>
    <xdr:clientData/>
  </xdr:twoCellAnchor>
  <xdr:twoCellAnchor>
    <xdr:from>
      <xdr:col>8</xdr:col>
      <xdr:colOff>666750</xdr:colOff>
      <xdr:row>12</xdr:row>
      <xdr:rowOff>114300</xdr:rowOff>
    </xdr:from>
    <xdr:to>
      <xdr:col>11</xdr:col>
      <xdr:colOff>289575</xdr:colOff>
      <xdr:row>14</xdr:row>
      <xdr:rowOff>110250</xdr:rowOff>
    </xdr:to>
    <xdr:sp macro="[0]!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6772568-70B1-46A0-937E-831AF9A55672}"/>
            </a:ext>
          </a:extLst>
        </xdr:cNvPr>
        <xdr:cNvSpPr/>
      </xdr:nvSpPr>
      <xdr:spPr>
        <a:xfrm>
          <a:off x="7372350" y="3657600"/>
          <a:ext cx="1404000" cy="396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LIMPAR</a:t>
          </a:r>
        </a:p>
      </xdr:txBody>
    </xdr:sp>
    <xdr:clientData/>
  </xdr:twoCellAnchor>
  <xdr:twoCellAnchor>
    <xdr:from>
      <xdr:col>11</xdr:col>
      <xdr:colOff>152400</xdr:colOff>
      <xdr:row>0</xdr:row>
      <xdr:rowOff>82550</xdr:rowOff>
    </xdr:from>
    <xdr:to>
      <xdr:col>13</xdr:col>
      <xdr:colOff>0</xdr:colOff>
      <xdr:row>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D17D5F-D464-4313-A09D-D94C7596E414}"/>
            </a:ext>
          </a:extLst>
        </xdr:cNvPr>
        <xdr:cNvSpPr/>
      </xdr:nvSpPr>
      <xdr:spPr>
        <a:xfrm>
          <a:off x="9042400" y="825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16</xdr:col>
      <xdr:colOff>47625</xdr:colOff>
      <xdr:row>0</xdr:row>
      <xdr:rowOff>685800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AC8EDE9-C57C-4219-8441-BEB189589A89}"/>
            </a:ext>
          </a:extLst>
        </xdr:cNvPr>
        <xdr:cNvSpPr/>
      </xdr:nvSpPr>
      <xdr:spPr>
        <a:xfrm>
          <a:off x="190500" y="120650"/>
          <a:ext cx="11220450" cy="565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RESUMO DE PAGAMENTOS</a:t>
          </a:r>
        </a:p>
      </xdr:txBody>
    </xdr:sp>
    <xdr:clientData/>
  </xdr:twoCellAnchor>
  <xdr:twoCellAnchor>
    <xdr:from>
      <xdr:col>14</xdr:col>
      <xdr:colOff>485776</xdr:colOff>
      <xdr:row>0</xdr:row>
      <xdr:rowOff>85725</xdr:rowOff>
    </xdr:from>
    <xdr:to>
      <xdr:col>16</xdr:col>
      <xdr:colOff>142875</xdr:colOff>
      <xdr:row>0</xdr:row>
      <xdr:rowOff>714375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1E377D-4D45-4476-A68D-C3341CE9978F}"/>
            </a:ext>
          </a:extLst>
        </xdr:cNvPr>
        <xdr:cNvSpPr/>
      </xdr:nvSpPr>
      <xdr:spPr>
        <a:xfrm>
          <a:off x="10106026" y="85725"/>
          <a:ext cx="1400174" cy="6286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latin typeface="Arial Black" panose="020B0A04020102020204" pitchFamily="34" charset="0"/>
            </a:rPr>
            <a:t>RETORNAR</a:t>
          </a:r>
          <a:r>
            <a:rPr lang="pt-BR" sz="80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80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800" b="1" baseline="0">
              <a:latin typeface="Arial Black" panose="020B0A04020102020204" pitchFamily="34" charset="0"/>
            </a:rPr>
            <a:t> MENU</a:t>
          </a:r>
          <a:endParaRPr lang="pt-BR" sz="80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3</xdr:col>
      <xdr:colOff>209543</xdr:colOff>
      <xdr:row>0</xdr:row>
      <xdr:rowOff>847716</xdr:rowOff>
    </xdr:from>
    <xdr:to>
      <xdr:col>5</xdr:col>
      <xdr:colOff>272904</xdr:colOff>
      <xdr:row>16</xdr:row>
      <xdr:rowOff>51254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ÊS PAGAMENTO">
              <a:extLst>
                <a:ext uri="{FF2B5EF4-FFF2-40B4-BE49-F238E27FC236}">
                  <a16:creationId xmlns:a16="http://schemas.microsoft.com/office/drawing/2014/main" id="{29FC7462-6277-64C3-E868-3465A6F1FE7D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4443" y="847716"/>
              <a:ext cx="1101586" cy="29087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190493</xdr:colOff>
      <xdr:row>1</xdr:row>
      <xdr:rowOff>9516</xdr:rowOff>
    </xdr:from>
    <xdr:to>
      <xdr:col>3</xdr:col>
      <xdr:colOff>237979</xdr:colOff>
      <xdr:row>16</xdr:row>
      <xdr:rowOff>60779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PAGAMENTO">
              <a:extLst>
                <a:ext uri="{FF2B5EF4-FFF2-40B4-BE49-F238E27FC236}">
                  <a16:creationId xmlns:a16="http://schemas.microsoft.com/office/drawing/2014/main" id="{EC87D32D-90A1-2B70-9970-EC8212E946EE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3" y="857241"/>
              <a:ext cx="1101586" cy="29087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127001</xdr:colOff>
      <xdr:row>0</xdr:row>
      <xdr:rowOff>69850</xdr:rowOff>
    </xdr:from>
    <xdr:to>
      <xdr:col>13</xdr:col>
      <xdr:colOff>1576917</xdr:colOff>
      <xdr:row>0</xdr:row>
      <xdr:rowOff>527050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F1BC506-5FCE-4789-A278-BDE9A0C29207}"/>
            </a:ext>
          </a:extLst>
        </xdr:cNvPr>
        <xdr:cNvSpPr/>
      </xdr:nvSpPr>
      <xdr:spPr>
        <a:xfrm>
          <a:off x="1291168" y="69850"/>
          <a:ext cx="10371666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571500</xdr:colOff>
      <xdr:row>0</xdr:row>
      <xdr:rowOff>57150</xdr:rowOff>
    </xdr:from>
    <xdr:to>
      <xdr:col>14</xdr:col>
      <xdr:colOff>47625</xdr:colOff>
      <xdr:row>0</xdr:row>
      <xdr:rowOff>523875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B2C9C6-1797-4F49-95BC-62AF1D358840}"/>
            </a:ext>
          </a:extLst>
        </xdr:cNvPr>
        <xdr:cNvSpPr/>
      </xdr:nvSpPr>
      <xdr:spPr>
        <a:xfrm>
          <a:off x="12582525" y="57150"/>
          <a:ext cx="1057275" cy="46672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latin typeface="Arial Black" panose="020B0A04020102020204" pitchFamily="34" charset="0"/>
            </a:rPr>
            <a:t>RETORNAR</a:t>
          </a:r>
          <a:r>
            <a:rPr lang="pt-BR" sz="900" b="1" baseline="0">
              <a:latin typeface="Arial Black" panose="020B0A04020102020204" pitchFamily="34" charset="0"/>
            </a:rPr>
            <a:t> AO MENU</a:t>
          </a:r>
          <a:endParaRPr lang="pt-BR" sz="90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4</xdr:col>
      <xdr:colOff>95250</xdr:colOff>
      <xdr:row>0</xdr:row>
      <xdr:rowOff>600075</xdr:rowOff>
    </xdr:from>
    <xdr:to>
      <xdr:col>4</xdr:col>
      <xdr:colOff>1695450</xdr:colOff>
      <xdr:row>12</xdr:row>
      <xdr:rowOff>139700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ÊS SERVIÇO">
              <a:extLst>
                <a:ext uri="{FF2B5EF4-FFF2-40B4-BE49-F238E27FC236}">
                  <a16:creationId xmlns:a16="http://schemas.microsoft.com/office/drawing/2014/main" id="{126C98F4-0C30-F5D4-9B1A-32E559DDF02F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38400" y="600075"/>
              <a:ext cx="16002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152400</xdr:colOff>
      <xdr:row>0</xdr:row>
      <xdr:rowOff>581025</xdr:rowOff>
    </xdr:from>
    <xdr:to>
      <xdr:col>2</xdr:col>
      <xdr:colOff>1676400</xdr:colOff>
      <xdr:row>12</xdr:row>
      <xdr:rowOff>120650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SERVIÇO">
              <a:extLst>
                <a:ext uri="{FF2B5EF4-FFF2-40B4-BE49-F238E27FC236}">
                  <a16:creationId xmlns:a16="http://schemas.microsoft.com/office/drawing/2014/main" id="{4B15C2EC-DC7F-78C5-F2E6-44D4838FC8A9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1950" y="581025"/>
              <a:ext cx="1704975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14</xdr:col>
      <xdr:colOff>0</xdr:colOff>
      <xdr:row>0</xdr:row>
      <xdr:rowOff>577850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AB21813-77E7-44B5-BB35-BAFDB6A57168}"/>
            </a:ext>
          </a:extLst>
        </xdr:cNvPr>
        <xdr:cNvSpPr/>
      </xdr:nvSpPr>
      <xdr:spPr>
        <a:xfrm>
          <a:off x="1136650" y="120650"/>
          <a:ext cx="106108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6350</xdr:colOff>
      <xdr:row>0</xdr:row>
      <xdr:rowOff>88900</xdr:rowOff>
    </xdr:from>
    <xdr:to>
      <xdr:col>14</xdr:col>
      <xdr:colOff>6350</xdr:colOff>
      <xdr:row>0</xdr:row>
      <xdr:rowOff>609600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1B8B0C-4739-4898-BE68-A540CAEAD676}"/>
            </a:ext>
          </a:extLst>
        </xdr:cNvPr>
        <xdr:cNvSpPr/>
      </xdr:nvSpPr>
      <xdr:spPr>
        <a:xfrm>
          <a:off x="11468100" y="88900"/>
          <a:ext cx="1257300" cy="5207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 </a:t>
          </a:r>
          <a:r>
            <a:rPr lang="pt-BR" sz="1050" b="1" baseline="0">
              <a:latin typeface="Arial Black" panose="020B0A04020102020204" pitchFamily="34" charset="0"/>
            </a:rPr>
            <a:t>AO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2</xdr:col>
      <xdr:colOff>1397000</xdr:colOff>
      <xdr:row>1</xdr:row>
      <xdr:rowOff>63500</xdr:rowOff>
    </xdr:from>
    <xdr:to>
      <xdr:col>3</xdr:col>
      <xdr:colOff>834550</xdr:colOff>
      <xdr:row>14</xdr:row>
      <xdr:rowOff>142875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MÊS SERVICO">
              <a:extLst>
                <a:ext uri="{FF2B5EF4-FFF2-40B4-BE49-F238E27FC236}">
                  <a16:creationId xmlns:a16="http://schemas.microsoft.com/office/drawing/2014/main" id="{C5575441-3649-5D41-410E-270B96C0BF6F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SERVIC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9750" y="749300"/>
              <a:ext cx="12600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19050</xdr:colOff>
      <xdr:row>1</xdr:row>
      <xdr:rowOff>44450</xdr:rowOff>
    </xdr:from>
    <xdr:to>
      <xdr:col>2</xdr:col>
      <xdr:colOff>1279050</xdr:colOff>
      <xdr:row>14</xdr:row>
      <xdr:rowOff>123825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" name="ANO SERVICO">
              <a:extLst>
                <a:ext uri="{FF2B5EF4-FFF2-40B4-BE49-F238E27FC236}">
                  <a16:creationId xmlns:a16="http://schemas.microsoft.com/office/drawing/2014/main" id="{D450E77C-E136-07E0-47C8-AA40127D9431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SERVIC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1800" y="730250"/>
              <a:ext cx="12600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 Neto" refreshedDate="45105.53166458333" createdVersion="8" refreshedVersion="8" minRefreshableVersion="3" recordCount="174" xr:uid="{5DA872E5-8AB0-4F23-A78F-3FB68F4D8A65}">
  <cacheSource type="worksheet">
    <worksheetSource ref="A1:M1048576" sheet="DADOS VENDAS"/>
  </cacheSource>
  <cacheFields count="13">
    <cacheField name="NOME" numFmtId="0">
      <sharedItems containsBlank="1" count="7">
        <s v="SICRANO DA SILVA"/>
        <s v="JOAO NINGUEM"/>
        <s v="Isabella Ronfini"/>
        <s v="Bruna dos Santos Gomes"/>
        <s v="Matheus de Souza  "/>
        <s v=""/>
        <m/>
      </sharedItems>
    </cacheField>
    <cacheField name="CPF" numFmtId="0">
      <sharedItems containsBlank="1" containsMixedTypes="1" containsNumber="1" containsInteger="1" minValue="7303330974" maxValue="3030303030303"/>
    </cacheField>
    <cacheField name="SERVIÇO" numFmtId="0">
      <sharedItems containsBlank="1" count="9">
        <s v="VIAGEM"/>
        <s v="rtetey"/>
        <s v="outra coisa"/>
        <s v="JARDIM"/>
        <s v="desvanieo"/>
        <s v="devlaos"/>
        <s v="de nco"/>
        <s v=""/>
        <m/>
      </sharedItems>
    </cacheField>
    <cacheField name="DATA SERVIÇO" numFmtId="14">
      <sharedItems containsDate="1" containsBlank="1" containsMixedTypes="1" minDate="2022-02-14T00:00:00" maxDate="2024-06-01T00:00:00" count="7">
        <d v="2024-05-31T00:00:00"/>
        <d v="2022-02-14T00:00:00"/>
        <d v="2023-04-21T00:00:00"/>
        <d v="2023-04-12T00:00:00"/>
        <d v="2023-03-15T00:00:00"/>
        <s v=""/>
        <m/>
      </sharedItems>
    </cacheField>
    <cacheField name="PAGAMENTO" numFmtId="14">
      <sharedItems containsDate="1" containsBlank="1" containsMixedTypes="1" minDate="2022-03-14T00:00:00" maxDate="2025-01-31T00:00:00" count="50">
        <d v="2024-06-30T00:00:00"/>
        <d v="2024-07-30T00:00:00"/>
        <d v="2024-08-30T00:00:00"/>
        <d v="2024-09-30T00:00:00"/>
        <d v="2024-10-30T00:00:00"/>
        <d v="2024-11-30T00:00:00"/>
        <d v="2024-12-30T00:00:00"/>
        <d v="2025-01-30T00:00:00"/>
        <d v="2022-03-14T00:00:00"/>
        <d v="2022-04-14T00:00:00"/>
        <d v="2022-05-14T00:00:00"/>
        <d v="2022-06-14T00:00:00"/>
        <d v="2022-07-14T00:00:00"/>
        <d v="2022-08-14T00:00:00"/>
        <d v="2022-09-14T00:00:00"/>
        <d v="2022-10-14T00:00:00"/>
        <d v="2022-11-14T00:00:00"/>
        <d v="2022-12-14T00:00:00"/>
        <d v="2023-01-14T00:00:00"/>
        <d v="2023-02-14T00:00:00"/>
        <d v="2023-05-21T00:00:00"/>
        <d v="2023-05-12T00:00:00"/>
        <d v="2023-06-12T00:00:00"/>
        <d v="2023-07-12T00:00:00"/>
        <d v="2023-08-12T00:00:00"/>
        <d v="2023-09-12T00:00:00"/>
        <d v="2023-10-12T00:00:00"/>
        <d v="2023-11-12T00:00:00"/>
        <d v="2023-04-15T00:00:00"/>
        <d v="2023-05-15T00:00:00"/>
        <d v="2023-06-15T00:00:00"/>
        <d v="2023-07-15T00:00:00"/>
        <d v="2023-08-15T00:00:00"/>
        <d v="2023-10-15T00:00:00"/>
        <d v="2023-11-15T00:00:00"/>
        <d v="2023-12-15T00:00:00"/>
        <d v="2024-01-15T00:00:00"/>
        <d v="2023-06-21T00:00:00"/>
        <d v="2023-07-21T00:00:00"/>
        <d v="2023-08-21T00:00:00"/>
        <d v="2023-09-21T00:00:00"/>
        <d v="2023-10-21T00:00:00"/>
        <d v="2023-11-21T00:00:00"/>
        <d v="2023-12-21T00:00:00"/>
        <d v="2024-01-21T00:00:00"/>
        <d v="2024-02-21T00:00:00"/>
        <d v="2024-03-21T00:00:00"/>
        <d v="2024-04-21T00:00:00"/>
        <s v=""/>
        <m/>
      </sharedItems>
    </cacheField>
    <cacheField name="VALOR SERVIÇO" numFmtId="44">
      <sharedItems containsBlank="1" containsMixedTypes="1" containsNumber="1" containsInteger="1" minValue="564" maxValue="5621"/>
    </cacheField>
    <cacheField name="PARCELAS" numFmtId="0">
      <sharedItems containsBlank="1" containsMixedTypes="1" containsNumber="1" containsInteger="1" minValue="3" maxValue="12" count="9">
        <n v="8"/>
        <n v="12"/>
        <n v="7"/>
        <n v="5"/>
        <n v="10"/>
        <n v="4"/>
        <n v="3"/>
        <s v=""/>
        <m/>
      </sharedItems>
    </cacheField>
    <cacheField name="N_PARCELA" numFmtId="0">
      <sharedItems containsBlank="1" containsMixedTypes="1" containsNumber="1" containsInteger="1" minValue="1" maxValue="12" count="14">
        <n v="1"/>
        <n v="2"/>
        <n v="3"/>
        <n v="4"/>
        <n v="5"/>
        <n v="6"/>
        <n v="7"/>
        <n v="8"/>
        <n v="9"/>
        <n v="10"/>
        <n v="11"/>
        <n v="12"/>
        <s v=""/>
        <m/>
      </sharedItems>
    </cacheField>
    <cacheField name="VALOR PARCELA" numFmtId="44">
      <sharedItems containsBlank="1" containsMixedTypes="1" containsNumber="1" minValue="70.5" maxValue="803"/>
    </cacheField>
    <cacheField name="MÊS SERVIÇO" numFmtId="0">
      <sharedItems containsBlank="1" containsMixedTypes="1" containsNumber="1" containsInteger="1" minValue="2" maxValue="5" count="6">
        <n v="5"/>
        <n v="2"/>
        <n v="4"/>
        <n v="3"/>
        <s v=""/>
        <m/>
      </sharedItems>
    </cacheField>
    <cacheField name="ANO SERVIÇO" numFmtId="0">
      <sharedItems containsBlank="1" containsMixedTypes="1" containsNumber="1" containsInteger="1" minValue="2022" maxValue="2024" count="5">
        <n v="2024"/>
        <n v="2022"/>
        <n v="2023"/>
        <s v=""/>
        <m/>
      </sharedItems>
    </cacheField>
    <cacheField name="MÊS PAGAMENTO" numFmtId="0">
      <sharedItems containsBlank="1" containsMixedTypes="1" containsNumber="1" containsInteger="1" minValue="1" maxValue="12" count="14">
        <n v="6"/>
        <n v="7"/>
        <n v="8"/>
        <n v="9"/>
        <n v="10"/>
        <n v="11"/>
        <n v="12"/>
        <n v="1"/>
        <n v="3"/>
        <n v="4"/>
        <n v="5"/>
        <n v="2"/>
        <s v=""/>
        <m/>
      </sharedItems>
    </cacheField>
    <cacheField name="ANO PAGAMENTO" numFmtId="0">
      <sharedItems containsBlank="1" containsMixedTypes="1" containsNumber="1" containsInteger="1" minValue="2022" maxValue="2025" count="6">
        <n v="2024"/>
        <n v="2025"/>
        <n v="2022"/>
        <n v="2023"/>
        <s v=""/>
        <m/>
      </sharedItems>
    </cacheField>
  </cacheFields>
  <extLst>
    <ext xmlns:x14="http://schemas.microsoft.com/office/spreadsheetml/2009/9/main" uri="{725AE2AE-9491-48be-B2B4-4EB974FC3084}">
      <x14:pivotCacheDefinition pivotCacheId="93593063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ana" refreshedDate="45105.852743402778" createdVersion="8" refreshedVersion="8" minRefreshableVersion="3" recordCount="9" xr:uid="{1A54CCBD-93F6-4711-AEA5-D48CE85FE5CD}">
  <cacheSource type="worksheet">
    <worksheetSource ref="A1:F1048576" sheet="COMISSÕES"/>
  </cacheSource>
  <cacheFields count="6">
    <cacheField name="NOME" numFmtId="0">
      <sharedItems containsBlank="1" count="6">
        <s v="Menina das Flores"/>
        <s v="Beatriz Leite Júnior"/>
        <s v="Carolina Codeceira"/>
        <s v="Alon Pinheiro"/>
        <s v="Adriane de Carvalho Gomes"/>
        <m/>
      </sharedItems>
    </cacheField>
    <cacheField name="SERVICO" numFmtId="0">
      <sharedItems containsBlank="1" count="2">
        <s v="JARDIM"/>
        <m/>
      </sharedItems>
    </cacheField>
    <cacheField name="DATA SERVIÇO" numFmtId="0">
      <sharedItems containsNonDate="0" containsDate="1" containsString="0" containsBlank="1" minDate="2023-01-12T00:00:00" maxDate="2024-04-06T00:00:00"/>
    </cacheField>
    <cacheField name="COMISSÃO" numFmtId="0">
      <sharedItems containsString="0" containsBlank="1" containsNumber="1" minValue="35" maxValue="1570.8000000000002"/>
    </cacheField>
    <cacheField name="MÊS SERVICO" numFmtId="0">
      <sharedItems containsString="0" containsBlank="1" containsNumber="1" containsInteger="1" minValue="1" maxValue="9" count="6">
        <n v="4"/>
        <n v="3"/>
        <n v="9"/>
        <n v="7"/>
        <n v="1"/>
        <m/>
      </sharedItems>
    </cacheField>
    <cacheField name="ANO SERVICO" numFmtId="0">
      <sharedItems containsString="0" containsBlank="1" containsNumber="1" containsInteger="1" minValue="2023" maxValue="2024" count="3">
        <n v="2024"/>
        <n v="2023"/>
        <m/>
      </sharedItems>
    </cacheField>
  </cacheFields>
  <extLst>
    <ext xmlns:x14="http://schemas.microsoft.com/office/spreadsheetml/2009/9/main" uri="{725AE2AE-9491-48be-B2B4-4EB974FC3084}">
      <x14:pivotCacheDefinition pivotCacheId="93750809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4">
  <r>
    <x v="0"/>
    <n v="202020202020"/>
    <x v="0"/>
    <x v="0"/>
    <x v="0"/>
    <n v="564"/>
    <x v="0"/>
    <x v="0"/>
    <n v="70.5"/>
    <x v="0"/>
    <x v="0"/>
    <x v="0"/>
    <x v="0"/>
  </r>
  <r>
    <x v="0"/>
    <n v="202020202020"/>
    <x v="0"/>
    <x v="0"/>
    <x v="1"/>
    <n v="564"/>
    <x v="0"/>
    <x v="1"/>
    <n v="70.5"/>
    <x v="0"/>
    <x v="0"/>
    <x v="1"/>
    <x v="0"/>
  </r>
  <r>
    <x v="0"/>
    <n v="202020202020"/>
    <x v="0"/>
    <x v="0"/>
    <x v="2"/>
    <n v="564"/>
    <x v="0"/>
    <x v="2"/>
    <n v="70.5"/>
    <x v="0"/>
    <x v="0"/>
    <x v="2"/>
    <x v="0"/>
  </r>
  <r>
    <x v="0"/>
    <n v="202020202020"/>
    <x v="0"/>
    <x v="0"/>
    <x v="3"/>
    <n v="564"/>
    <x v="0"/>
    <x v="3"/>
    <n v="70.5"/>
    <x v="0"/>
    <x v="0"/>
    <x v="3"/>
    <x v="0"/>
  </r>
  <r>
    <x v="0"/>
    <n v="202020202020"/>
    <x v="0"/>
    <x v="0"/>
    <x v="4"/>
    <n v="564"/>
    <x v="0"/>
    <x v="4"/>
    <n v="70.5"/>
    <x v="0"/>
    <x v="0"/>
    <x v="4"/>
    <x v="0"/>
  </r>
  <r>
    <x v="0"/>
    <n v="202020202020"/>
    <x v="0"/>
    <x v="0"/>
    <x v="5"/>
    <n v="564"/>
    <x v="0"/>
    <x v="5"/>
    <n v="70.5"/>
    <x v="0"/>
    <x v="0"/>
    <x v="5"/>
    <x v="0"/>
  </r>
  <r>
    <x v="0"/>
    <n v="202020202020"/>
    <x v="0"/>
    <x v="0"/>
    <x v="6"/>
    <n v="564"/>
    <x v="0"/>
    <x v="6"/>
    <n v="70.5"/>
    <x v="0"/>
    <x v="0"/>
    <x v="6"/>
    <x v="0"/>
  </r>
  <r>
    <x v="0"/>
    <n v="202020202020"/>
    <x v="0"/>
    <x v="0"/>
    <x v="7"/>
    <n v="564"/>
    <x v="0"/>
    <x v="7"/>
    <n v="70.5"/>
    <x v="0"/>
    <x v="0"/>
    <x v="7"/>
    <x v="1"/>
  </r>
  <r>
    <x v="0"/>
    <n v="202020202020"/>
    <x v="0"/>
    <x v="0"/>
    <x v="0"/>
    <n v="564"/>
    <x v="0"/>
    <x v="0"/>
    <n v="70.5"/>
    <x v="0"/>
    <x v="0"/>
    <x v="0"/>
    <x v="0"/>
  </r>
  <r>
    <x v="0"/>
    <n v="202020202020"/>
    <x v="0"/>
    <x v="0"/>
    <x v="1"/>
    <n v="564"/>
    <x v="0"/>
    <x v="1"/>
    <n v="70.5"/>
    <x v="0"/>
    <x v="0"/>
    <x v="1"/>
    <x v="0"/>
  </r>
  <r>
    <x v="0"/>
    <n v="202020202020"/>
    <x v="0"/>
    <x v="0"/>
    <x v="2"/>
    <n v="564"/>
    <x v="0"/>
    <x v="2"/>
    <n v="70.5"/>
    <x v="0"/>
    <x v="0"/>
    <x v="2"/>
    <x v="0"/>
  </r>
  <r>
    <x v="0"/>
    <n v="202020202020"/>
    <x v="0"/>
    <x v="0"/>
    <x v="3"/>
    <n v="564"/>
    <x v="0"/>
    <x v="3"/>
    <n v="70.5"/>
    <x v="0"/>
    <x v="0"/>
    <x v="3"/>
    <x v="0"/>
  </r>
  <r>
    <x v="0"/>
    <n v="202020202020"/>
    <x v="0"/>
    <x v="0"/>
    <x v="4"/>
    <n v="564"/>
    <x v="0"/>
    <x v="4"/>
    <n v="70.5"/>
    <x v="0"/>
    <x v="0"/>
    <x v="4"/>
    <x v="0"/>
  </r>
  <r>
    <x v="0"/>
    <n v="202020202020"/>
    <x v="0"/>
    <x v="0"/>
    <x v="5"/>
    <n v="564"/>
    <x v="0"/>
    <x v="5"/>
    <n v="70.5"/>
    <x v="0"/>
    <x v="0"/>
    <x v="5"/>
    <x v="0"/>
  </r>
  <r>
    <x v="0"/>
    <n v="202020202020"/>
    <x v="0"/>
    <x v="0"/>
    <x v="6"/>
    <n v="564"/>
    <x v="0"/>
    <x v="6"/>
    <n v="70.5"/>
    <x v="0"/>
    <x v="0"/>
    <x v="6"/>
    <x v="0"/>
  </r>
  <r>
    <x v="0"/>
    <n v="202020202020"/>
    <x v="0"/>
    <x v="0"/>
    <x v="7"/>
    <n v="564"/>
    <x v="0"/>
    <x v="7"/>
    <n v="70.5"/>
    <x v="0"/>
    <x v="0"/>
    <x v="7"/>
    <x v="1"/>
  </r>
  <r>
    <x v="1"/>
    <n v="3030303030303"/>
    <x v="1"/>
    <x v="1"/>
    <x v="8"/>
    <n v="5621"/>
    <x v="1"/>
    <x v="0"/>
    <n v="468.41666666666669"/>
    <x v="1"/>
    <x v="1"/>
    <x v="8"/>
    <x v="2"/>
  </r>
  <r>
    <x v="1"/>
    <n v="3030303030303"/>
    <x v="1"/>
    <x v="1"/>
    <x v="9"/>
    <n v="5621"/>
    <x v="1"/>
    <x v="1"/>
    <n v="468.41666666666669"/>
    <x v="1"/>
    <x v="1"/>
    <x v="9"/>
    <x v="2"/>
  </r>
  <r>
    <x v="1"/>
    <n v="3030303030303"/>
    <x v="1"/>
    <x v="1"/>
    <x v="10"/>
    <n v="5621"/>
    <x v="1"/>
    <x v="2"/>
    <n v="468.41666666666669"/>
    <x v="1"/>
    <x v="1"/>
    <x v="10"/>
    <x v="2"/>
  </r>
  <r>
    <x v="1"/>
    <n v="3030303030303"/>
    <x v="1"/>
    <x v="1"/>
    <x v="11"/>
    <n v="5621"/>
    <x v="1"/>
    <x v="3"/>
    <n v="468.41666666666669"/>
    <x v="1"/>
    <x v="1"/>
    <x v="0"/>
    <x v="2"/>
  </r>
  <r>
    <x v="1"/>
    <n v="3030303030303"/>
    <x v="1"/>
    <x v="1"/>
    <x v="12"/>
    <n v="5621"/>
    <x v="1"/>
    <x v="4"/>
    <n v="468.41666666666669"/>
    <x v="1"/>
    <x v="1"/>
    <x v="1"/>
    <x v="2"/>
  </r>
  <r>
    <x v="1"/>
    <n v="3030303030303"/>
    <x v="1"/>
    <x v="1"/>
    <x v="13"/>
    <n v="5621"/>
    <x v="1"/>
    <x v="5"/>
    <n v="468.41666666666669"/>
    <x v="1"/>
    <x v="1"/>
    <x v="2"/>
    <x v="2"/>
  </r>
  <r>
    <x v="1"/>
    <n v="3030303030303"/>
    <x v="1"/>
    <x v="1"/>
    <x v="14"/>
    <n v="5621"/>
    <x v="1"/>
    <x v="6"/>
    <n v="468.41666666666669"/>
    <x v="1"/>
    <x v="1"/>
    <x v="3"/>
    <x v="2"/>
  </r>
  <r>
    <x v="1"/>
    <n v="3030303030303"/>
    <x v="1"/>
    <x v="1"/>
    <x v="15"/>
    <n v="5621"/>
    <x v="1"/>
    <x v="7"/>
    <n v="468.41666666666669"/>
    <x v="1"/>
    <x v="1"/>
    <x v="4"/>
    <x v="2"/>
  </r>
  <r>
    <x v="1"/>
    <n v="3030303030303"/>
    <x v="1"/>
    <x v="1"/>
    <x v="16"/>
    <n v="5621"/>
    <x v="1"/>
    <x v="8"/>
    <n v="468.41666666666669"/>
    <x v="1"/>
    <x v="1"/>
    <x v="5"/>
    <x v="2"/>
  </r>
  <r>
    <x v="1"/>
    <n v="3030303030303"/>
    <x v="1"/>
    <x v="1"/>
    <x v="17"/>
    <n v="5621"/>
    <x v="1"/>
    <x v="9"/>
    <n v="468.41666666666669"/>
    <x v="1"/>
    <x v="1"/>
    <x v="6"/>
    <x v="2"/>
  </r>
  <r>
    <x v="1"/>
    <n v="3030303030303"/>
    <x v="1"/>
    <x v="1"/>
    <x v="18"/>
    <n v="5621"/>
    <x v="1"/>
    <x v="10"/>
    <n v="468.41666666666669"/>
    <x v="1"/>
    <x v="1"/>
    <x v="7"/>
    <x v="3"/>
  </r>
  <r>
    <x v="1"/>
    <n v="3030303030303"/>
    <x v="1"/>
    <x v="1"/>
    <x v="19"/>
    <n v="5621"/>
    <x v="1"/>
    <x v="11"/>
    <n v="468.41666666666669"/>
    <x v="1"/>
    <x v="1"/>
    <x v="11"/>
    <x v="3"/>
  </r>
  <r>
    <x v="2"/>
    <n v="13365514967"/>
    <x v="2"/>
    <x v="1"/>
    <x v="8"/>
    <n v="5621"/>
    <x v="2"/>
    <x v="0"/>
    <n v="803"/>
    <x v="1"/>
    <x v="1"/>
    <x v="8"/>
    <x v="2"/>
  </r>
  <r>
    <x v="2"/>
    <n v="13365514967"/>
    <x v="2"/>
    <x v="1"/>
    <x v="9"/>
    <n v="5621"/>
    <x v="2"/>
    <x v="1"/>
    <n v="803"/>
    <x v="1"/>
    <x v="1"/>
    <x v="9"/>
    <x v="2"/>
  </r>
  <r>
    <x v="2"/>
    <n v="13365514967"/>
    <x v="2"/>
    <x v="1"/>
    <x v="10"/>
    <n v="5621"/>
    <x v="2"/>
    <x v="2"/>
    <n v="803"/>
    <x v="1"/>
    <x v="1"/>
    <x v="10"/>
    <x v="2"/>
  </r>
  <r>
    <x v="2"/>
    <n v="13365514967"/>
    <x v="2"/>
    <x v="1"/>
    <x v="11"/>
    <n v="5621"/>
    <x v="2"/>
    <x v="3"/>
    <n v="803"/>
    <x v="1"/>
    <x v="1"/>
    <x v="0"/>
    <x v="2"/>
  </r>
  <r>
    <x v="2"/>
    <n v="13365514967"/>
    <x v="2"/>
    <x v="1"/>
    <x v="12"/>
    <n v="5621"/>
    <x v="2"/>
    <x v="4"/>
    <n v="803"/>
    <x v="1"/>
    <x v="1"/>
    <x v="1"/>
    <x v="2"/>
  </r>
  <r>
    <x v="2"/>
    <n v="13365514967"/>
    <x v="2"/>
    <x v="1"/>
    <x v="13"/>
    <n v="5621"/>
    <x v="2"/>
    <x v="5"/>
    <n v="803"/>
    <x v="1"/>
    <x v="1"/>
    <x v="2"/>
    <x v="2"/>
  </r>
  <r>
    <x v="2"/>
    <n v="13365514967"/>
    <x v="2"/>
    <x v="1"/>
    <x v="14"/>
    <n v="5621"/>
    <x v="2"/>
    <x v="6"/>
    <n v="803"/>
    <x v="1"/>
    <x v="1"/>
    <x v="3"/>
    <x v="2"/>
  </r>
  <r>
    <x v="3"/>
    <n v="7303330974"/>
    <x v="3"/>
    <x v="2"/>
    <x v="20"/>
    <n v="2856"/>
    <x v="1"/>
    <x v="0"/>
    <n v="238"/>
    <x v="2"/>
    <x v="2"/>
    <x v="10"/>
    <x v="3"/>
  </r>
  <r>
    <x v="0"/>
    <n v="202020202020"/>
    <x v="4"/>
    <x v="3"/>
    <x v="21"/>
    <n v="3500"/>
    <x v="2"/>
    <x v="0"/>
    <n v="500"/>
    <x v="2"/>
    <x v="2"/>
    <x v="10"/>
    <x v="3"/>
  </r>
  <r>
    <x v="0"/>
    <n v="202020202020"/>
    <x v="4"/>
    <x v="3"/>
    <x v="22"/>
    <n v="3500"/>
    <x v="2"/>
    <x v="1"/>
    <n v="500"/>
    <x v="2"/>
    <x v="2"/>
    <x v="0"/>
    <x v="3"/>
  </r>
  <r>
    <x v="0"/>
    <n v="202020202020"/>
    <x v="4"/>
    <x v="3"/>
    <x v="23"/>
    <n v="3500"/>
    <x v="2"/>
    <x v="2"/>
    <n v="500"/>
    <x v="2"/>
    <x v="2"/>
    <x v="1"/>
    <x v="3"/>
  </r>
  <r>
    <x v="0"/>
    <n v="202020202020"/>
    <x v="4"/>
    <x v="3"/>
    <x v="24"/>
    <n v="3500"/>
    <x v="2"/>
    <x v="3"/>
    <n v="500"/>
    <x v="2"/>
    <x v="2"/>
    <x v="2"/>
    <x v="3"/>
  </r>
  <r>
    <x v="0"/>
    <n v="202020202020"/>
    <x v="4"/>
    <x v="3"/>
    <x v="25"/>
    <n v="3500"/>
    <x v="2"/>
    <x v="4"/>
    <n v="500"/>
    <x v="2"/>
    <x v="2"/>
    <x v="3"/>
    <x v="3"/>
  </r>
  <r>
    <x v="0"/>
    <n v="202020202020"/>
    <x v="4"/>
    <x v="3"/>
    <x v="26"/>
    <n v="3500"/>
    <x v="2"/>
    <x v="5"/>
    <n v="500"/>
    <x v="2"/>
    <x v="2"/>
    <x v="4"/>
    <x v="3"/>
  </r>
  <r>
    <x v="0"/>
    <n v="202020202020"/>
    <x v="4"/>
    <x v="3"/>
    <x v="27"/>
    <n v="3500"/>
    <x v="2"/>
    <x v="6"/>
    <n v="500"/>
    <x v="2"/>
    <x v="2"/>
    <x v="5"/>
    <x v="3"/>
  </r>
  <r>
    <x v="4"/>
    <n v="13616340129"/>
    <x v="5"/>
    <x v="4"/>
    <x v="28"/>
    <n v="1000"/>
    <x v="3"/>
    <x v="0"/>
    <n v="200"/>
    <x v="3"/>
    <x v="2"/>
    <x v="9"/>
    <x v="3"/>
  </r>
  <r>
    <x v="4"/>
    <n v="13616340129"/>
    <x v="5"/>
    <x v="4"/>
    <x v="29"/>
    <n v="1000"/>
    <x v="3"/>
    <x v="1"/>
    <n v="200"/>
    <x v="3"/>
    <x v="2"/>
    <x v="10"/>
    <x v="3"/>
  </r>
  <r>
    <x v="4"/>
    <n v="13616340129"/>
    <x v="5"/>
    <x v="4"/>
    <x v="30"/>
    <n v="1000"/>
    <x v="3"/>
    <x v="2"/>
    <n v="200"/>
    <x v="3"/>
    <x v="2"/>
    <x v="0"/>
    <x v="3"/>
  </r>
  <r>
    <x v="4"/>
    <n v="13616340129"/>
    <x v="5"/>
    <x v="4"/>
    <x v="31"/>
    <n v="1000"/>
    <x v="3"/>
    <x v="3"/>
    <n v="200"/>
    <x v="3"/>
    <x v="2"/>
    <x v="1"/>
    <x v="3"/>
  </r>
  <r>
    <x v="4"/>
    <n v="13616340129"/>
    <x v="5"/>
    <x v="4"/>
    <x v="32"/>
    <n v="1000"/>
    <x v="3"/>
    <x v="4"/>
    <n v="200"/>
    <x v="3"/>
    <x v="2"/>
    <x v="2"/>
    <x v="3"/>
  </r>
  <r>
    <x v="4"/>
    <n v="13616340129"/>
    <x v="5"/>
    <x v="4"/>
    <x v="28"/>
    <n v="1000"/>
    <x v="3"/>
    <x v="0"/>
    <n v="200"/>
    <x v="3"/>
    <x v="2"/>
    <x v="9"/>
    <x v="3"/>
  </r>
  <r>
    <x v="4"/>
    <n v="13616340129"/>
    <x v="5"/>
    <x v="4"/>
    <x v="29"/>
    <n v="1000"/>
    <x v="3"/>
    <x v="1"/>
    <n v="200"/>
    <x v="3"/>
    <x v="2"/>
    <x v="10"/>
    <x v="3"/>
  </r>
  <r>
    <x v="4"/>
    <n v="13616340129"/>
    <x v="5"/>
    <x v="4"/>
    <x v="30"/>
    <n v="1000"/>
    <x v="3"/>
    <x v="2"/>
    <n v="200"/>
    <x v="3"/>
    <x v="2"/>
    <x v="0"/>
    <x v="3"/>
  </r>
  <r>
    <x v="4"/>
    <n v="13616340129"/>
    <x v="5"/>
    <x v="4"/>
    <x v="31"/>
    <n v="1000"/>
    <x v="3"/>
    <x v="3"/>
    <n v="200"/>
    <x v="3"/>
    <x v="2"/>
    <x v="1"/>
    <x v="3"/>
  </r>
  <r>
    <x v="4"/>
    <n v="13616340129"/>
    <x v="5"/>
    <x v="4"/>
    <x v="32"/>
    <n v="1000"/>
    <x v="3"/>
    <x v="4"/>
    <n v="200"/>
    <x v="3"/>
    <x v="2"/>
    <x v="2"/>
    <x v="3"/>
  </r>
  <r>
    <x v="4"/>
    <n v="13616340129"/>
    <x v="5"/>
    <x v="4"/>
    <x v="28"/>
    <n v="1000"/>
    <x v="3"/>
    <x v="0"/>
    <n v="200"/>
    <x v="3"/>
    <x v="2"/>
    <x v="9"/>
    <x v="3"/>
  </r>
  <r>
    <x v="4"/>
    <n v="13616340129"/>
    <x v="5"/>
    <x v="4"/>
    <x v="29"/>
    <n v="1000"/>
    <x v="3"/>
    <x v="1"/>
    <n v="200"/>
    <x v="3"/>
    <x v="2"/>
    <x v="10"/>
    <x v="3"/>
  </r>
  <r>
    <x v="4"/>
    <n v="13616340129"/>
    <x v="5"/>
    <x v="4"/>
    <x v="30"/>
    <n v="1000"/>
    <x v="3"/>
    <x v="2"/>
    <n v="200"/>
    <x v="3"/>
    <x v="2"/>
    <x v="0"/>
    <x v="3"/>
  </r>
  <r>
    <x v="4"/>
    <n v="13616340129"/>
    <x v="5"/>
    <x v="4"/>
    <x v="31"/>
    <n v="1000"/>
    <x v="3"/>
    <x v="3"/>
    <n v="200"/>
    <x v="3"/>
    <x v="2"/>
    <x v="1"/>
    <x v="3"/>
  </r>
  <r>
    <x v="4"/>
    <n v="13616340129"/>
    <x v="5"/>
    <x v="4"/>
    <x v="32"/>
    <n v="1000"/>
    <x v="3"/>
    <x v="4"/>
    <n v="200"/>
    <x v="3"/>
    <x v="2"/>
    <x v="2"/>
    <x v="3"/>
  </r>
  <r>
    <x v="4"/>
    <n v="13616340129"/>
    <x v="5"/>
    <x v="4"/>
    <x v="28"/>
    <n v="1000"/>
    <x v="3"/>
    <x v="0"/>
    <n v="200"/>
    <x v="3"/>
    <x v="2"/>
    <x v="9"/>
    <x v="3"/>
  </r>
  <r>
    <x v="4"/>
    <n v="13616340129"/>
    <x v="5"/>
    <x v="4"/>
    <x v="29"/>
    <n v="1000"/>
    <x v="3"/>
    <x v="1"/>
    <n v="200"/>
    <x v="3"/>
    <x v="2"/>
    <x v="10"/>
    <x v="3"/>
  </r>
  <r>
    <x v="4"/>
    <n v="13616340129"/>
    <x v="5"/>
    <x v="4"/>
    <x v="30"/>
    <n v="1000"/>
    <x v="3"/>
    <x v="2"/>
    <n v="200"/>
    <x v="3"/>
    <x v="2"/>
    <x v="0"/>
    <x v="3"/>
  </r>
  <r>
    <x v="4"/>
    <n v="13616340129"/>
    <x v="5"/>
    <x v="4"/>
    <x v="31"/>
    <n v="1000"/>
    <x v="3"/>
    <x v="3"/>
    <n v="200"/>
    <x v="3"/>
    <x v="2"/>
    <x v="1"/>
    <x v="3"/>
  </r>
  <r>
    <x v="4"/>
    <n v="13616340129"/>
    <x v="5"/>
    <x v="4"/>
    <x v="32"/>
    <n v="1000"/>
    <x v="3"/>
    <x v="4"/>
    <n v="200"/>
    <x v="3"/>
    <x v="2"/>
    <x v="2"/>
    <x v="3"/>
  </r>
  <r>
    <x v="4"/>
    <n v="13616340129"/>
    <x v="5"/>
    <x v="4"/>
    <x v="33"/>
    <n v="1000"/>
    <x v="4"/>
    <x v="6"/>
    <n v="100"/>
    <x v="3"/>
    <x v="2"/>
    <x v="4"/>
    <x v="3"/>
  </r>
  <r>
    <x v="4"/>
    <n v="13616340129"/>
    <x v="5"/>
    <x v="4"/>
    <x v="34"/>
    <n v="1000"/>
    <x v="4"/>
    <x v="7"/>
    <n v="100"/>
    <x v="3"/>
    <x v="2"/>
    <x v="5"/>
    <x v="3"/>
  </r>
  <r>
    <x v="4"/>
    <n v="13616340129"/>
    <x v="5"/>
    <x v="4"/>
    <x v="35"/>
    <n v="1000"/>
    <x v="4"/>
    <x v="8"/>
    <n v="100"/>
    <x v="3"/>
    <x v="2"/>
    <x v="6"/>
    <x v="3"/>
  </r>
  <r>
    <x v="4"/>
    <n v="13616340129"/>
    <x v="5"/>
    <x v="4"/>
    <x v="36"/>
    <n v="1000"/>
    <x v="4"/>
    <x v="9"/>
    <n v="100"/>
    <x v="3"/>
    <x v="2"/>
    <x v="7"/>
    <x v="0"/>
  </r>
  <r>
    <x v="3"/>
    <n v="7303330974"/>
    <x v="3"/>
    <x v="2"/>
    <x v="37"/>
    <n v="2856"/>
    <x v="1"/>
    <x v="1"/>
    <n v="238"/>
    <x v="2"/>
    <x v="2"/>
    <x v="0"/>
    <x v="3"/>
  </r>
  <r>
    <x v="3"/>
    <n v="7303330974"/>
    <x v="3"/>
    <x v="2"/>
    <x v="38"/>
    <n v="2856"/>
    <x v="1"/>
    <x v="2"/>
    <n v="238"/>
    <x v="2"/>
    <x v="2"/>
    <x v="1"/>
    <x v="3"/>
  </r>
  <r>
    <x v="3"/>
    <n v="7303330974"/>
    <x v="3"/>
    <x v="2"/>
    <x v="39"/>
    <n v="2856"/>
    <x v="1"/>
    <x v="3"/>
    <n v="238"/>
    <x v="2"/>
    <x v="2"/>
    <x v="2"/>
    <x v="3"/>
  </r>
  <r>
    <x v="3"/>
    <n v="7303330974"/>
    <x v="3"/>
    <x v="2"/>
    <x v="40"/>
    <n v="2856"/>
    <x v="1"/>
    <x v="4"/>
    <n v="238"/>
    <x v="2"/>
    <x v="2"/>
    <x v="3"/>
    <x v="3"/>
  </r>
  <r>
    <x v="3"/>
    <n v="7303330974"/>
    <x v="3"/>
    <x v="2"/>
    <x v="41"/>
    <n v="2856"/>
    <x v="1"/>
    <x v="5"/>
    <n v="238"/>
    <x v="2"/>
    <x v="2"/>
    <x v="4"/>
    <x v="3"/>
  </r>
  <r>
    <x v="3"/>
    <n v="7303330974"/>
    <x v="3"/>
    <x v="2"/>
    <x v="42"/>
    <n v="2856"/>
    <x v="1"/>
    <x v="6"/>
    <n v="238"/>
    <x v="2"/>
    <x v="2"/>
    <x v="5"/>
    <x v="3"/>
  </r>
  <r>
    <x v="3"/>
    <n v="7303330974"/>
    <x v="3"/>
    <x v="2"/>
    <x v="43"/>
    <n v="2856"/>
    <x v="1"/>
    <x v="7"/>
    <n v="238"/>
    <x v="2"/>
    <x v="2"/>
    <x v="6"/>
    <x v="3"/>
  </r>
  <r>
    <x v="3"/>
    <n v="7303330974"/>
    <x v="3"/>
    <x v="2"/>
    <x v="44"/>
    <n v="2856"/>
    <x v="1"/>
    <x v="8"/>
    <n v="238"/>
    <x v="2"/>
    <x v="2"/>
    <x v="7"/>
    <x v="0"/>
  </r>
  <r>
    <x v="3"/>
    <n v="7303330974"/>
    <x v="3"/>
    <x v="2"/>
    <x v="45"/>
    <n v="2856"/>
    <x v="1"/>
    <x v="9"/>
    <n v="238"/>
    <x v="2"/>
    <x v="2"/>
    <x v="11"/>
    <x v="0"/>
  </r>
  <r>
    <x v="3"/>
    <n v="7303330974"/>
    <x v="3"/>
    <x v="2"/>
    <x v="46"/>
    <n v="2856"/>
    <x v="1"/>
    <x v="10"/>
    <n v="238"/>
    <x v="2"/>
    <x v="2"/>
    <x v="8"/>
    <x v="0"/>
  </r>
  <r>
    <x v="3"/>
    <n v="7303330974"/>
    <x v="3"/>
    <x v="2"/>
    <x v="47"/>
    <n v="2856"/>
    <x v="1"/>
    <x v="11"/>
    <n v="238"/>
    <x v="2"/>
    <x v="2"/>
    <x v="9"/>
    <x v="0"/>
  </r>
  <r>
    <x v="3"/>
    <n v="7303330974"/>
    <x v="6"/>
    <x v="1"/>
    <x v="8"/>
    <n v="1000"/>
    <x v="4"/>
    <x v="0"/>
    <n v="100"/>
    <x v="1"/>
    <x v="1"/>
    <x v="8"/>
    <x v="2"/>
  </r>
  <r>
    <x v="3"/>
    <n v="7303330974"/>
    <x v="6"/>
    <x v="1"/>
    <x v="9"/>
    <n v="1000"/>
    <x v="4"/>
    <x v="1"/>
    <n v="100"/>
    <x v="1"/>
    <x v="1"/>
    <x v="9"/>
    <x v="2"/>
  </r>
  <r>
    <x v="3"/>
    <n v="7303330974"/>
    <x v="6"/>
    <x v="1"/>
    <x v="10"/>
    <n v="1000"/>
    <x v="4"/>
    <x v="2"/>
    <n v="100"/>
    <x v="1"/>
    <x v="1"/>
    <x v="10"/>
    <x v="2"/>
  </r>
  <r>
    <x v="3"/>
    <n v="7303330974"/>
    <x v="6"/>
    <x v="1"/>
    <x v="11"/>
    <n v="1000"/>
    <x v="4"/>
    <x v="3"/>
    <n v="100"/>
    <x v="1"/>
    <x v="1"/>
    <x v="0"/>
    <x v="2"/>
  </r>
  <r>
    <x v="3"/>
    <n v="7303330974"/>
    <x v="6"/>
    <x v="1"/>
    <x v="12"/>
    <n v="1000"/>
    <x v="4"/>
    <x v="4"/>
    <n v="100"/>
    <x v="1"/>
    <x v="1"/>
    <x v="1"/>
    <x v="2"/>
  </r>
  <r>
    <x v="3"/>
    <n v="7303330974"/>
    <x v="6"/>
    <x v="1"/>
    <x v="13"/>
    <n v="1000"/>
    <x v="4"/>
    <x v="5"/>
    <n v="100"/>
    <x v="1"/>
    <x v="1"/>
    <x v="2"/>
    <x v="2"/>
  </r>
  <r>
    <x v="3"/>
    <n v="7303330974"/>
    <x v="6"/>
    <x v="1"/>
    <x v="14"/>
    <n v="1000"/>
    <x v="4"/>
    <x v="6"/>
    <n v="100"/>
    <x v="1"/>
    <x v="1"/>
    <x v="3"/>
    <x v="2"/>
  </r>
  <r>
    <x v="3"/>
    <n v="7303330974"/>
    <x v="6"/>
    <x v="1"/>
    <x v="15"/>
    <n v="1000"/>
    <x v="4"/>
    <x v="7"/>
    <n v="100"/>
    <x v="1"/>
    <x v="1"/>
    <x v="4"/>
    <x v="2"/>
  </r>
  <r>
    <x v="3"/>
    <n v="7303330974"/>
    <x v="6"/>
    <x v="1"/>
    <x v="16"/>
    <n v="1000"/>
    <x v="4"/>
    <x v="8"/>
    <n v="100"/>
    <x v="1"/>
    <x v="1"/>
    <x v="5"/>
    <x v="2"/>
  </r>
  <r>
    <x v="3"/>
    <n v="7303330974"/>
    <x v="6"/>
    <x v="1"/>
    <x v="17"/>
    <n v="1000"/>
    <x v="4"/>
    <x v="9"/>
    <n v="100"/>
    <x v="1"/>
    <x v="1"/>
    <x v="6"/>
    <x v="2"/>
  </r>
  <r>
    <x v="3"/>
    <n v="7303330974"/>
    <x v="6"/>
    <x v="1"/>
    <x v="8"/>
    <n v="1000"/>
    <x v="1"/>
    <x v="0"/>
    <n v="83.333333333333329"/>
    <x v="1"/>
    <x v="1"/>
    <x v="8"/>
    <x v="2"/>
  </r>
  <r>
    <x v="3"/>
    <n v="7303330974"/>
    <x v="6"/>
    <x v="1"/>
    <x v="9"/>
    <n v="1000"/>
    <x v="1"/>
    <x v="1"/>
    <n v="83.333333333333329"/>
    <x v="1"/>
    <x v="1"/>
    <x v="9"/>
    <x v="2"/>
  </r>
  <r>
    <x v="3"/>
    <n v="7303330974"/>
    <x v="6"/>
    <x v="1"/>
    <x v="10"/>
    <n v="1000"/>
    <x v="1"/>
    <x v="2"/>
    <n v="83.333333333333329"/>
    <x v="1"/>
    <x v="1"/>
    <x v="10"/>
    <x v="2"/>
  </r>
  <r>
    <x v="3"/>
    <n v="7303330974"/>
    <x v="6"/>
    <x v="1"/>
    <x v="11"/>
    <n v="1000"/>
    <x v="1"/>
    <x v="3"/>
    <n v="83.333333333333329"/>
    <x v="1"/>
    <x v="1"/>
    <x v="0"/>
    <x v="2"/>
  </r>
  <r>
    <x v="3"/>
    <n v="7303330974"/>
    <x v="6"/>
    <x v="1"/>
    <x v="12"/>
    <n v="1000"/>
    <x v="1"/>
    <x v="4"/>
    <n v="83.333333333333329"/>
    <x v="1"/>
    <x v="1"/>
    <x v="1"/>
    <x v="2"/>
  </r>
  <r>
    <x v="3"/>
    <n v="7303330974"/>
    <x v="6"/>
    <x v="1"/>
    <x v="13"/>
    <n v="1000"/>
    <x v="1"/>
    <x v="5"/>
    <n v="83.333333333333329"/>
    <x v="1"/>
    <x v="1"/>
    <x v="2"/>
    <x v="2"/>
  </r>
  <r>
    <x v="3"/>
    <n v="7303330974"/>
    <x v="6"/>
    <x v="1"/>
    <x v="14"/>
    <n v="1000"/>
    <x v="1"/>
    <x v="6"/>
    <n v="83.333333333333329"/>
    <x v="1"/>
    <x v="1"/>
    <x v="3"/>
    <x v="2"/>
  </r>
  <r>
    <x v="3"/>
    <n v="7303330974"/>
    <x v="6"/>
    <x v="1"/>
    <x v="15"/>
    <n v="1000"/>
    <x v="1"/>
    <x v="7"/>
    <n v="83.333333333333329"/>
    <x v="1"/>
    <x v="1"/>
    <x v="4"/>
    <x v="2"/>
  </r>
  <r>
    <x v="3"/>
    <n v="7303330974"/>
    <x v="6"/>
    <x v="1"/>
    <x v="16"/>
    <n v="1000"/>
    <x v="1"/>
    <x v="8"/>
    <n v="83.333333333333329"/>
    <x v="1"/>
    <x v="1"/>
    <x v="5"/>
    <x v="2"/>
  </r>
  <r>
    <x v="3"/>
    <n v="7303330974"/>
    <x v="6"/>
    <x v="1"/>
    <x v="17"/>
    <n v="1000"/>
    <x v="1"/>
    <x v="9"/>
    <n v="83.333333333333329"/>
    <x v="1"/>
    <x v="1"/>
    <x v="6"/>
    <x v="2"/>
  </r>
  <r>
    <x v="3"/>
    <n v="7303330974"/>
    <x v="6"/>
    <x v="1"/>
    <x v="18"/>
    <n v="1000"/>
    <x v="1"/>
    <x v="10"/>
    <n v="83.333333333333329"/>
    <x v="1"/>
    <x v="1"/>
    <x v="7"/>
    <x v="3"/>
  </r>
  <r>
    <x v="3"/>
    <n v="7303330974"/>
    <x v="6"/>
    <x v="1"/>
    <x v="19"/>
    <n v="1000"/>
    <x v="1"/>
    <x v="11"/>
    <n v="83.333333333333329"/>
    <x v="1"/>
    <x v="1"/>
    <x v="11"/>
    <x v="3"/>
  </r>
  <r>
    <x v="3"/>
    <n v="7303330974"/>
    <x v="6"/>
    <x v="1"/>
    <x v="8"/>
    <n v="1000"/>
    <x v="5"/>
    <x v="0"/>
    <n v="250"/>
    <x v="1"/>
    <x v="1"/>
    <x v="8"/>
    <x v="2"/>
  </r>
  <r>
    <x v="3"/>
    <n v="7303330974"/>
    <x v="6"/>
    <x v="1"/>
    <x v="9"/>
    <n v="1000"/>
    <x v="5"/>
    <x v="1"/>
    <n v="250"/>
    <x v="1"/>
    <x v="1"/>
    <x v="9"/>
    <x v="2"/>
  </r>
  <r>
    <x v="3"/>
    <n v="7303330974"/>
    <x v="6"/>
    <x v="1"/>
    <x v="10"/>
    <n v="1000"/>
    <x v="5"/>
    <x v="2"/>
    <n v="250"/>
    <x v="1"/>
    <x v="1"/>
    <x v="10"/>
    <x v="2"/>
  </r>
  <r>
    <x v="3"/>
    <n v="7303330974"/>
    <x v="6"/>
    <x v="1"/>
    <x v="11"/>
    <n v="1000"/>
    <x v="5"/>
    <x v="3"/>
    <n v="250"/>
    <x v="1"/>
    <x v="1"/>
    <x v="0"/>
    <x v="2"/>
  </r>
  <r>
    <x v="3"/>
    <n v="7303330974"/>
    <x v="6"/>
    <x v="1"/>
    <x v="8"/>
    <n v="1000"/>
    <x v="6"/>
    <x v="0"/>
    <n v="333.33333333333331"/>
    <x v="1"/>
    <x v="1"/>
    <x v="8"/>
    <x v="2"/>
  </r>
  <r>
    <x v="3"/>
    <n v="7303330974"/>
    <x v="6"/>
    <x v="1"/>
    <x v="9"/>
    <n v="1000"/>
    <x v="6"/>
    <x v="1"/>
    <n v="333.33333333333331"/>
    <x v="1"/>
    <x v="1"/>
    <x v="9"/>
    <x v="2"/>
  </r>
  <r>
    <x v="3"/>
    <n v="7303330974"/>
    <x v="6"/>
    <x v="1"/>
    <x v="10"/>
    <n v="1000"/>
    <x v="6"/>
    <x v="2"/>
    <n v="333.33333333333331"/>
    <x v="1"/>
    <x v="1"/>
    <x v="10"/>
    <x v="2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5"/>
    <s v=""/>
    <x v="7"/>
    <x v="5"/>
    <x v="48"/>
    <s v=""/>
    <x v="7"/>
    <x v="12"/>
    <s v=""/>
    <x v="4"/>
    <x v="3"/>
    <x v="12"/>
    <x v="4"/>
  </r>
  <r>
    <x v="6"/>
    <m/>
    <x v="8"/>
    <x v="6"/>
    <x v="49"/>
    <m/>
    <x v="8"/>
    <x v="13"/>
    <m/>
    <x v="5"/>
    <x v="4"/>
    <x v="13"/>
    <x v="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d v="2024-04-05T00:00:00"/>
    <n v="1570.8000000000002"/>
    <x v="0"/>
    <x v="0"/>
  </r>
  <r>
    <x v="0"/>
    <x v="0"/>
    <d v="2023-03-05T00:00:00"/>
    <n v="1570.8000000000002"/>
    <x v="1"/>
    <x v="1"/>
  </r>
  <r>
    <x v="1"/>
    <x v="0"/>
    <d v="2023-09-12T00:00:00"/>
    <n v="999.59999999999991"/>
    <x v="2"/>
    <x v="1"/>
  </r>
  <r>
    <x v="2"/>
    <x v="0"/>
    <d v="2023-07-12T00:00:00"/>
    <n v="142.80000000000001"/>
    <x v="3"/>
    <x v="1"/>
  </r>
  <r>
    <x v="2"/>
    <x v="0"/>
    <d v="2023-04-21T00:00:00"/>
    <n v="142.80000000000001"/>
    <x v="0"/>
    <x v="1"/>
  </r>
  <r>
    <x v="3"/>
    <x v="1"/>
    <d v="2023-04-21T00:00:00"/>
    <n v="428.4"/>
    <x v="0"/>
    <x v="1"/>
  </r>
  <r>
    <x v="4"/>
    <x v="1"/>
    <d v="2023-01-12T00:00:00"/>
    <n v="35"/>
    <x v="4"/>
    <x v="1"/>
  </r>
  <r>
    <x v="4"/>
    <x v="1"/>
    <d v="2023-01-12T00:00:00"/>
    <n v="53"/>
    <x v="4"/>
    <x v="1"/>
  </r>
  <r>
    <x v="5"/>
    <x v="1"/>
    <m/>
    <m/>
    <x v="5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AF242-CB79-4A52-9B8F-44D7D76BE22A}" name="Tabela dinâ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C19:D26" firstHeaderRow="1" firstDataRow="1" firstDataCol="1"/>
  <pivotFields count="13">
    <pivotField compact="0" outline="0" showAll="0" defaultSubtotal="0"/>
    <pivotField compact="0" outline="0" showAll="0" defaultSubtotal="0"/>
    <pivotField compact="0" outline="0" showAll="0" defaultSubtotal="0">
      <items count="9">
        <item x="7"/>
        <item x="6"/>
        <item x="4"/>
        <item x="5"/>
        <item x="2"/>
        <item x="1"/>
        <item x="8"/>
        <item x="0"/>
        <item x="3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50">
        <item x="48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8"/>
        <item x="21"/>
        <item x="29"/>
        <item x="22"/>
        <item x="30"/>
        <item x="23"/>
        <item x="31"/>
        <item x="24"/>
        <item x="32"/>
        <item x="25"/>
        <item x="26"/>
        <item x="33"/>
        <item x="27"/>
        <item x="34"/>
        <item x="35"/>
        <item x="36"/>
        <item x="49"/>
        <item x="0"/>
        <item x="1"/>
        <item x="2"/>
        <item x="3"/>
        <item x="4"/>
        <item x="5"/>
        <item x="6"/>
        <item x="7"/>
        <item x="20"/>
        <item x="37"/>
        <item x="38"/>
        <item x="39"/>
        <item x="40"/>
        <item x="41"/>
        <item x="42"/>
        <item x="43"/>
        <item x="44"/>
        <item x="45"/>
        <item x="46"/>
        <item x="4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name="MÊS" compact="0" outline="0" showAll="0" defaultSubtotal="0">
      <items count="14">
        <item x="7"/>
        <item x="11"/>
        <item x="8"/>
        <item x="9"/>
        <item x="10"/>
        <item x="0"/>
        <item x="1"/>
        <item x="2"/>
        <item x="3"/>
        <item x="4"/>
        <item x="5"/>
        <item x="6"/>
        <item x="12"/>
        <item x="13"/>
      </items>
    </pivotField>
    <pivotField name="ANO" axis="axisRow" compact="0" outline="0" showAll="0" insertBlankRow="1" defaultSubtotal="0">
      <items count="6">
        <item x="2"/>
        <item x="3"/>
        <item x="0"/>
        <item x="4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PAGAMENTOS" fld="8" baseField="3" baseItem="0" numFmtId="44"/>
  </dataFields>
  <formats count="25">
    <format dxfId="431">
      <pivotArea type="all" dataOnly="0" outline="0" fieldPosition="0"/>
    </format>
    <format dxfId="430">
      <pivotArea outline="0" collapsedLevelsAreSubtotals="1" fieldPosition="0"/>
    </format>
    <format dxfId="429">
      <pivotArea field="12" type="button" dataOnly="0" labelOnly="1" outline="0" axis="axisRow" fieldPosition="0"/>
    </format>
    <format dxfId="428">
      <pivotArea dataOnly="0" labelOnly="1" outline="0" fieldPosition="0">
        <references count="1">
          <reference field="12" count="0"/>
        </references>
      </pivotArea>
    </format>
    <format dxfId="427">
      <pivotArea dataOnly="0" labelOnly="1" grandRow="1" outline="0" fieldPosition="0"/>
    </format>
    <format dxfId="426">
      <pivotArea dataOnly="0" labelOnly="1" outline="0" axis="axisValues" fieldPosition="0"/>
    </format>
    <format dxfId="425">
      <pivotArea type="all" dataOnly="0" outline="0" fieldPosition="0"/>
    </format>
    <format dxfId="424">
      <pivotArea outline="0" collapsedLevelsAreSubtotals="1" fieldPosition="0"/>
    </format>
    <format dxfId="423">
      <pivotArea field="12" type="button" dataOnly="0" labelOnly="1" outline="0" axis="axisRow" fieldPosition="0"/>
    </format>
    <format dxfId="422">
      <pivotArea dataOnly="0" labelOnly="1" outline="0" fieldPosition="0">
        <references count="1">
          <reference field="12" count="0"/>
        </references>
      </pivotArea>
    </format>
    <format dxfId="421">
      <pivotArea dataOnly="0" labelOnly="1" grandRow="1" outline="0" fieldPosition="0"/>
    </format>
    <format dxfId="420">
      <pivotArea dataOnly="0" labelOnly="1" outline="0" axis="axisValues" fieldPosition="0"/>
    </format>
    <format dxfId="419">
      <pivotArea type="all" dataOnly="0" outline="0" fieldPosition="0"/>
    </format>
    <format dxfId="418">
      <pivotArea outline="0" collapsedLevelsAreSubtotals="1" fieldPosition="0"/>
    </format>
    <format dxfId="417">
      <pivotArea field="12" type="button" dataOnly="0" labelOnly="1" outline="0" axis="axisRow" fieldPosition="0"/>
    </format>
    <format dxfId="416">
      <pivotArea dataOnly="0" labelOnly="1" outline="0" fieldPosition="0">
        <references count="1">
          <reference field="12" count="0"/>
        </references>
      </pivotArea>
    </format>
    <format dxfId="415">
      <pivotArea dataOnly="0" labelOnly="1" grandRow="1" outline="0" fieldPosition="0"/>
    </format>
    <format dxfId="414">
      <pivotArea dataOnly="0" labelOnly="1" outline="0" axis="axisValues" fieldPosition="0"/>
    </format>
    <format dxfId="413">
      <pivotArea type="all" dataOnly="0" outline="0" fieldPosition="0"/>
    </format>
    <format dxfId="412">
      <pivotArea outline="0" collapsedLevelsAreSubtotals="1" fieldPosition="0"/>
    </format>
    <format dxfId="411">
      <pivotArea dataOnly="0" labelOnly="1" outline="0" fieldPosition="0">
        <references count="1">
          <reference field="12" count="0"/>
        </references>
      </pivotArea>
    </format>
    <format dxfId="410">
      <pivotArea field="12" type="button" dataOnly="0" labelOnly="1" outline="0" axis="axisRow" fieldPosition="0"/>
    </format>
    <format dxfId="409">
      <pivotArea dataOnly="0" labelOnly="1" outline="0" axis="axisValues" fieldPosition="0"/>
    </format>
    <format dxfId="408">
      <pivotArea grandRow="1" outline="0" collapsedLevelsAreSubtotals="1" fieldPosition="0"/>
    </format>
    <format dxfId="407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7B49EE-9105-4052-B0E8-976F508DDF3F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G2:I44" firstHeaderRow="1" firstDataRow="1" firstDataCol="2"/>
  <pivotFields count="13">
    <pivotField compact="0" outline="0" showAll="0" defaultSubtotal="0"/>
    <pivotField compact="0" outline="0" showAll="0" defaultSubtotal="0"/>
    <pivotField compact="0" outline="0" showAll="0" defaultSubtotal="0">
      <items count="9">
        <item x="7"/>
        <item x="6"/>
        <item x="4"/>
        <item x="5"/>
        <item x="2"/>
        <item x="1"/>
        <item x="8"/>
        <item x="0"/>
        <item x="3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50">
        <item x="48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8"/>
        <item x="21"/>
        <item x="29"/>
        <item x="22"/>
        <item x="30"/>
        <item x="23"/>
        <item x="31"/>
        <item x="24"/>
        <item x="32"/>
        <item x="25"/>
        <item x="26"/>
        <item x="33"/>
        <item x="27"/>
        <item x="34"/>
        <item x="35"/>
        <item x="36"/>
        <item x="49"/>
        <item x="0"/>
        <item x="1"/>
        <item x="2"/>
        <item x="3"/>
        <item x="4"/>
        <item x="5"/>
        <item x="6"/>
        <item x="7"/>
        <item x="20"/>
        <item x="37"/>
        <item x="38"/>
        <item x="39"/>
        <item x="40"/>
        <item x="41"/>
        <item x="42"/>
        <item x="43"/>
        <item x="44"/>
        <item x="45"/>
        <item x="46"/>
        <item x="4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name="MÊS" axis="axisRow" compact="0" outline="0" showAll="0" defaultSubtotal="0">
      <items count="14">
        <item x="7"/>
        <item x="11"/>
        <item x="8"/>
        <item x="9"/>
        <item x="10"/>
        <item x="0"/>
        <item x="1"/>
        <item x="2"/>
        <item x="3"/>
        <item x="4"/>
        <item x="5"/>
        <item x="6"/>
        <item x="12"/>
        <item x="13"/>
      </items>
    </pivotField>
    <pivotField name="ANO" axis="axisRow" compact="0" outline="0" showAll="0" insertBlankRow="1" defaultSubtotal="0">
      <items count="6">
        <item x="2"/>
        <item x="3"/>
        <item x="0"/>
        <item x="4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2"/>
    <field x="11"/>
  </rowFields>
  <rowItems count="42">
    <i>
      <x/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blank">
      <x/>
    </i>
    <i>
      <x v="1"/>
      <x/>
    </i>
    <i r="1"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blank">
      <x v="1"/>
    </i>
    <i>
      <x v="2"/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blank">
      <x v="2"/>
    </i>
    <i>
      <x v="3"/>
      <x v="12"/>
    </i>
    <i t="blank">
      <x v="3"/>
    </i>
    <i>
      <x v="4"/>
      <x v="13"/>
    </i>
    <i t="blank">
      <x v="4"/>
    </i>
    <i>
      <x v="5"/>
      <x/>
    </i>
    <i t="blank">
      <x v="5"/>
    </i>
    <i t="grand">
      <x/>
    </i>
  </rowItems>
  <colItems count="1">
    <i/>
  </colItems>
  <dataFields count="1">
    <dataField name="PAGAMENTOS" fld="8" baseField="3" baseItem="0" numFmtId="44"/>
  </dataFields>
  <formats count="9">
    <format dxfId="440">
      <pivotArea field="4" type="button" dataOnly="0" labelOnly="1" outline="0"/>
    </format>
    <format dxfId="439">
      <pivotArea field="2" type="button" dataOnly="0" labelOnly="1" outline="0"/>
    </format>
    <format dxfId="438">
      <pivotArea dataOnly="0" labelOnly="1" outline="0" fieldPosition="0">
        <references count="2">
          <reference field="11" count="10">
            <x v="2"/>
            <x v="3"/>
            <x v="4"/>
            <x v="5"/>
            <x v="6"/>
            <x v="7"/>
            <x v="8"/>
            <x v="9"/>
            <x v="10"/>
            <x v="11"/>
          </reference>
          <reference field="12" count="1" selected="0">
            <x v="0"/>
          </reference>
        </references>
      </pivotArea>
    </format>
    <format dxfId="437">
      <pivotArea dataOnly="0" labelOnly="1" outline="0" fieldPosition="0">
        <references count="2">
          <reference field="11" count="11">
            <x v="0"/>
            <x v="1"/>
            <x v="3"/>
            <x v="4"/>
            <x v="5"/>
            <x v="6"/>
            <x v="7"/>
            <x v="8"/>
            <x v="9"/>
            <x v="10"/>
            <x v="11"/>
          </reference>
          <reference field="12" count="1" selected="0">
            <x v="1"/>
          </reference>
        </references>
      </pivotArea>
    </format>
    <format dxfId="436">
      <pivotArea dataOnly="0" labelOnly="1" outline="0" fieldPosition="0">
        <references count="2">
          <reference field="11" count="1">
            <x v="12"/>
          </reference>
          <reference field="12" count="1" selected="0">
            <x v="3"/>
          </reference>
        </references>
      </pivotArea>
    </format>
    <format dxfId="435">
      <pivotArea dataOnly="0" labelOnly="1" outline="0" fieldPosition="0">
        <references count="2">
          <reference field="11" count="1">
            <x v="13"/>
          </reference>
          <reference field="12" count="1" selected="0">
            <x v="4"/>
          </reference>
        </references>
      </pivotArea>
    </format>
    <format dxfId="434">
      <pivotArea field="11" type="button" dataOnly="0" labelOnly="1" outline="0" axis="axisRow" fieldPosition="1"/>
    </format>
    <format dxfId="433">
      <pivotArea dataOnly="0" labelOnly="1" grandRow="1" outline="0" fieldPosition="0"/>
    </format>
    <format dxfId="432">
      <pivotArea dataOnly="0" labelOnly="1" outline="0" fieldPosition="0">
        <references count="2">
          <reference field="11" count="8">
            <x v="0"/>
            <x v="5"/>
            <x v="6"/>
            <x v="7"/>
            <x v="8"/>
            <x v="9"/>
            <x v="10"/>
            <x v="11"/>
          </reference>
          <reference field="12" count="0" selected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619FCD-57BD-43BF-82C6-AAE665F48056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K2:P139" firstHeaderRow="1" firstDataRow="1" firstDataCol="5"/>
  <pivotFields count="13">
    <pivotField axis="axisRow" compact="0" outline="0" showAll="0" defaultSubtotal="0">
      <items count="7">
        <item h="1" x="5"/>
        <item x="3"/>
        <item x="2"/>
        <item x="1"/>
        <item x="4"/>
        <item x="0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axis="axisRow" compact="0" outline="0" showAll="0" defaultSubtotal="0">
      <items count="9">
        <item x="7"/>
        <item x="6"/>
        <item x="4"/>
        <item x="5"/>
        <item x="2"/>
        <item x="1"/>
        <item x="8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9">
        <item x="6"/>
        <item x="5"/>
        <item x="3"/>
        <item x="2"/>
        <item x="4"/>
        <item x="1"/>
        <item x="7"/>
        <item x="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Nº  - PARCELA" axis="axisRow" compact="0" outline="0" showAll="0" insertBlankRow="1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/>
    <pivotField compact="0" outline="0" showAll="0" defaultSubtotal="0"/>
    <pivotField compact="0" outline="0" showAll="0" defaultSubtotal="0"/>
    <pivotField name="MÊS " axis="axisRow" compact="0" outline="0" showAll="0" defaultSubtotal="0">
      <items count="14">
        <item x="7"/>
        <item x="11"/>
        <item x="8"/>
        <item x="9"/>
        <item x="10"/>
        <item x="0"/>
        <item x="1"/>
        <item x="2"/>
        <item x="3"/>
        <item x="4"/>
        <item x="5"/>
        <item x="6"/>
        <item x="12"/>
        <item x="13"/>
      </items>
    </pivotField>
    <pivotField name="ANO" axis="axisRow" compact="0" outline="0" showAll="0" defaultSubtotal="0">
      <items count="6">
        <item x="2"/>
        <item x="3"/>
        <item x="0"/>
        <item x="4"/>
        <item x="5"/>
        <item x="1"/>
      </items>
    </pivotField>
  </pivotFields>
  <rowFields count="5">
    <field x="0"/>
    <field x="2"/>
    <field x="7"/>
    <field x="11"/>
    <field x="12"/>
  </rowFields>
  <rowItems count="137">
    <i>
      <x v="1"/>
      <x v="1"/>
      <x/>
      <x v="2"/>
      <x/>
    </i>
    <i t="blank" r="2">
      <x/>
    </i>
    <i r="2">
      <x v="1"/>
      <x v="3"/>
      <x/>
    </i>
    <i t="blank" r="2">
      <x v="1"/>
    </i>
    <i r="2">
      <x v="2"/>
      <x v="4"/>
      <x/>
    </i>
    <i t="blank" r="2">
      <x v="2"/>
    </i>
    <i r="2">
      <x v="3"/>
      <x v="5"/>
      <x/>
    </i>
    <i t="blank" r="2">
      <x v="3"/>
    </i>
    <i r="2">
      <x v="4"/>
      <x v="6"/>
      <x/>
    </i>
    <i t="blank" r="2">
      <x v="4"/>
    </i>
    <i r="2">
      <x v="5"/>
      <x v="7"/>
      <x/>
    </i>
    <i t="blank" r="2">
      <x v="5"/>
    </i>
    <i r="2">
      <x v="6"/>
      <x v="8"/>
      <x/>
    </i>
    <i t="blank" r="2">
      <x v="6"/>
    </i>
    <i r="2">
      <x v="7"/>
      <x v="9"/>
      <x/>
    </i>
    <i t="blank" r="2">
      <x v="7"/>
    </i>
    <i r="2">
      <x v="8"/>
      <x v="10"/>
      <x/>
    </i>
    <i t="blank" r="2">
      <x v="8"/>
    </i>
    <i r="2">
      <x v="9"/>
      <x v="11"/>
      <x/>
    </i>
    <i t="blank" r="2">
      <x v="9"/>
    </i>
    <i r="2">
      <x v="10"/>
      <x/>
      <x v="1"/>
    </i>
    <i t="blank" r="2">
      <x v="10"/>
    </i>
    <i r="2">
      <x v="11"/>
      <x v="1"/>
      <x v="1"/>
    </i>
    <i t="blank" r="2">
      <x v="11"/>
    </i>
    <i r="1">
      <x v="8"/>
      <x/>
      <x v="4"/>
      <x v="1"/>
    </i>
    <i t="blank" r="2">
      <x/>
    </i>
    <i r="2">
      <x v="1"/>
      <x v="5"/>
      <x v="1"/>
    </i>
    <i t="blank" r="2">
      <x v="1"/>
    </i>
    <i r="2">
      <x v="2"/>
      <x v="6"/>
      <x v="1"/>
    </i>
    <i t="blank" r="2">
      <x v="2"/>
    </i>
    <i r="2">
      <x v="3"/>
      <x v="7"/>
      <x v="1"/>
    </i>
    <i t="blank" r="2">
      <x v="3"/>
    </i>
    <i r="2">
      <x v="4"/>
      <x v="8"/>
      <x v="1"/>
    </i>
    <i t="blank" r="2">
      <x v="4"/>
    </i>
    <i r="2">
      <x v="5"/>
      <x v="9"/>
      <x v="1"/>
    </i>
    <i t="blank" r="2">
      <x v="5"/>
    </i>
    <i r="2">
      <x v="6"/>
      <x v="10"/>
      <x v="1"/>
    </i>
    <i t="blank" r="2">
      <x v="6"/>
    </i>
    <i r="2">
      <x v="7"/>
      <x v="11"/>
      <x v="1"/>
    </i>
    <i t="blank" r="2">
      <x v="7"/>
    </i>
    <i r="2">
      <x v="8"/>
      <x/>
      <x v="2"/>
    </i>
    <i t="blank" r="2">
      <x v="8"/>
    </i>
    <i r="2">
      <x v="9"/>
      <x v="1"/>
      <x v="2"/>
    </i>
    <i t="blank" r="2">
      <x v="9"/>
    </i>
    <i r="2">
      <x v="10"/>
      <x v="2"/>
      <x v="2"/>
    </i>
    <i t="blank" r="2">
      <x v="10"/>
    </i>
    <i r="2">
      <x v="11"/>
      <x v="3"/>
      <x v="2"/>
    </i>
    <i t="blank" r="2">
      <x v="11"/>
    </i>
    <i>
      <x v="2"/>
      <x v="4"/>
      <x/>
      <x v="2"/>
      <x/>
    </i>
    <i t="blank" r="2">
      <x/>
    </i>
    <i r="2">
      <x v="1"/>
      <x v="3"/>
      <x/>
    </i>
    <i t="blank" r="2">
      <x v="1"/>
    </i>
    <i r="2">
      <x v="2"/>
      <x v="4"/>
      <x/>
    </i>
    <i t="blank" r="2">
      <x v="2"/>
    </i>
    <i r="2">
      <x v="3"/>
      <x v="5"/>
      <x/>
    </i>
    <i t="blank" r="2">
      <x v="3"/>
    </i>
    <i r="2">
      <x v="4"/>
      <x v="6"/>
      <x/>
    </i>
    <i t="blank" r="2">
      <x v="4"/>
    </i>
    <i r="2">
      <x v="5"/>
      <x v="7"/>
      <x/>
    </i>
    <i t="blank" r="2">
      <x v="5"/>
    </i>
    <i r="2">
      <x v="6"/>
      <x v="8"/>
      <x/>
    </i>
    <i t="blank" r="2">
      <x v="6"/>
    </i>
    <i>
      <x v="3"/>
      <x v="5"/>
      <x/>
      <x v="2"/>
      <x/>
    </i>
    <i t="blank" r="2">
      <x/>
    </i>
    <i r="2">
      <x v="1"/>
      <x v="3"/>
      <x/>
    </i>
    <i t="blank" r="2">
      <x v="1"/>
    </i>
    <i r="2">
      <x v="2"/>
      <x v="4"/>
      <x/>
    </i>
    <i t="blank" r="2">
      <x v="2"/>
    </i>
    <i r="2">
      <x v="3"/>
      <x v="5"/>
      <x/>
    </i>
    <i t="blank" r="2">
      <x v="3"/>
    </i>
    <i r="2">
      <x v="4"/>
      <x v="6"/>
      <x/>
    </i>
    <i t="blank" r="2">
      <x v="4"/>
    </i>
    <i r="2">
      <x v="5"/>
      <x v="7"/>
      <x/>
    </i>
    <i t="blank" r="2">
      <x v="5"/>
    </i>
    <i r="2">
      <x v="6"/>
      <x v="8"/>
      <x/>
    </i>
    <i t="blank" r="2">
      <x v="6"/>
    </i>
    <i r="2">
      <x v="7"/>
      <x v="9"/>
      <x/>
    </i>
    <i t="blank" r="2">
      <x v="7"/>
    </i>
    <i r="2">
      <x v="8"/>
      <x v="10"/>
      <x/>
    </i>
    <i t="blank" r="2">
      <x v="8"/>
    </i>
    <i r="2">
      <x v="9"/>
      <x v="11"/>
      <x/>
    </i>
    <i t="blank" r="2">
      <x v="9"/>
    </i>
    <i r="2">
      <x v="10"/>
      <x/>
      <x v="1"/>
    </i>
    <i t="blank" r="2">
      <x v="10"/>
    </i>
    <i r="2">
      <x v="11"/>
      <x v="1"/>
      <x v="1"/>
    </i>
    <i t="blank" r="2">
      <x v="11"/>
    </i>
    <i>
      <x v="4"/>
      <x v="3"/>
      <x/>
      <x v="3"/>
      <x v="1"/>
    </i>
    <i t="blank" r="2">
      <x/>
    </i>
    <i r="2">
      <x v="1"/>
      <x v="4"/>
      <x v="1"/>
    </i>
    <i t="blank" r="2">
      <x v="1"/>
    </i>
    <i r="2">
      <x v="2"/>
      <x v="5"/>
      <x v="1"/>
    </i>
    <i t="blank" r="2">
      <x v="2"/>
    </i>
    <i r="2">
      <x v="3"/>
      <x v="6"/>
      <x v="1"/>
    </i>
    <i t="blank" r="2">
      <x v="3"/>
    </i>
    <i r="2">
      <x v="4"/>
      <x v="7"/>
      <x v="1"/>
    </i>
    <i t="blank" r="2">
      <x v="4"/>
    </i>
    <i r="2">
      <x v="6"/>
      <x v="9"/>
      <x v="1"/>
    </i>
    <i t="blank" r="2">
      <x v="6"/>
    </i>
    <i r="2">
      <x v="7"/>
      <x v="10"/>
      <x v="1"/>
    </i>
    <i t="blank" r="2">
      <x v="7"/>
    </i>
    <i r="2">
      <x v="8"/>
      <x v="11"/>
      <x v="1"/>
    </i>
    <i t="blank" r="2">
      <x v="8"/>
    </i>
    <i r="2">
      <x v="9"/>
      <x/>
      <x v="2"/>
    </i>
    <i t="blank" r="2">
      <x v="9"/>
    </i>
    <i>
      <x v="5"/>
      <x v="2"/>
      <x/>
      <x v="4"/>
      <x v="1"/>
    </i>
    <i t="blank" r="2">
      <x/>
    </i>
    <i r="2">
      <x v="1"/>
      <x v="5"/>
      <x v="1"/>
    </i>
    <i t="blank" r="2">
      <x v="1"/>
    </i>
    <i r="2">
      <x v="2"/>
      <x v="6"/>
      <x v="1"/>
    </i>
    <i t="blank" r="2">
      <x v="2"/>
    </i>
    <i r="2">
      <x v="3"/>
      <x v="7"/>
      <x v="1"/>
    </i>
    <i t="blank" r="2">
      <x v="3"/>
    </i>
    <i r="2">
      <x v="4"/>
      <x v="8"/>
      <x v="1"/>
    </i>
    <i t="blank" r="2">
      <x v="4"/>
    </i>
    <i r="2">
      <x v="5"/>
      <x v="9"/>
      <x v="1"/>
    </i>
    <i t="blank" r="2">
      <x v="5"/>
    </i>
    <i r="2">
      <x v="6"/>
      <x v="10"/>
      <x v="1"/>
    </i>
    <i t="blank" r="2">
      <x v="6"/>
    </i>
    <i r="1">
      <x v="7"/>
      <x/>
      <x v="5"/>
      <x v="2"/>
    </i>
    <i t="blank" r="2">
      <x/>
    </i>
    <i r="2">
      <x v="1"/>
      <x v="6"/>
      <x v="2"/>
    </i>
    <i t="blank" r="2">
      <x v="1"/>
    </i>
    <i r="2">
      <x v="2"/>
      <x v="7"/>
      <x v="2"/>
    </i>
    <i t="blank" r="2">
      <x v="2"/>
    </i>
    <i r="2">
      <x v="3"/>
      <x v="8"/>
      <x v="2"/>
    </i>
    <i t="blank" r="2">
      <x v="3"/>
    </i>
    <i r="2">
      <x v="4"/>
      <x v="9"/>
      <x v="2"/>
    </i>
    <i t="blank" r="2">
      <x v="4"/>
    </i>
    <i r="2">
      <x v="5"/>
      <x v="10"/>
      <x v="2"/>
    </i>
    <i t="blank" r="2">
      <x v="5"/>
    </i>
    <i r="2">
      <x v="6"/>
      <x v="11"/>
      <x v="2"/>
    </i>
    <i t="blank" r="2">
      <x v="6"/>
    </i>
    <i r="2">
      <x v="7"/>
      <x/>
      <x v="5"/>
    </i>
    <i t="blank" r="2">
      <x v="7"/>
    </i>
    <i>
      <x v="6"/>
      <x v="6"/>
      <x v="13"/>
      <x v="13"/>
      <x v="4"/>
    </i>
    <i t="blank" r="2">
      <x v="13"/>
    </i>
    <i t="grand">
      <x/>
    </i>
  </rowItems>
  <colItems count="1">
    <i/>
  </colItems>
  <dataFields count="1">
    <dataField name="VALOR PARCELAS" fld="8" baseField="12" baseItem="0" numFmtId="44"/>
  </dataFields>
  <formats count="7">
    <format dxfId="447">
      <pivotArea field="6" type="button" dataOnly="0" labelOnly="1" outline="0"/>
    </format>
    <format dxfId="446">
      <pivotArea outline="0" fieldPosition="0">
        <references count="1">
          <reference field="4294967294" count="1">
            <x v="0"/>
          </reference>
        </references>
      </pivotArea>
    </format>
    <format dxfId="445">
      <pivotArea outline="0" collapsedLevelsAreSubtotals="1" fieldPosition="0"/>
    </format>
    <format dxfId="444">
      <pivotArea dataOnly="0" labelOnly="1" outline="0" axis="axisValues" fieldPosition="0"/>
    </format>
    <format dxfId="443">
      <pivotArea field="7" type="button" dataOnly="0" labelOnly="1" outline="0" axis="axisRow" fieldPosition="2"/>
    </format>
    <format dxfId="442">
      <pivotArea field="11" type="button" dataOnly="0" labelOnly="1" outline="0" axis="axisRow" fieldPosition="3"/>
    </format>
    <format dxfId="441">
      <pivotArea field="12" type="button" dataOnly="0" labelOnly="1" outline="0" axis="axisRow" fieldPosition="4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1DD5F2-9638-453F-B4AF-31D6DCEAEAB1}" name="Tabela dinâmica5" cacheId="0" applyNumberFormats="0" applyBorderFormats="0" applyFontFormats="0" applyPatternFormats="0" applyAlignmentFormats="0" applyWidthHeightFormats="1" dataCaption="Valores" showError="1" updatedVersion="8" minRefreshableVersion="3" itemPrintTitles="1" createdVersion="8" indent="0" compact="0" compactData="0" multipleFieldFilters="0">
  <location ref="G2:I7" firstHeaderRow="1" firstDataRow="1" firstDataCol="2"/>
  <pivotFields count="13">
    <pivotField compact="0" outline="0" showAll="0" defaultSubtotal="0">
      <items count="7">
        <item h="1" x="5"/>
        <item x="3"/>
        <item x="2"/>
        <item x="1"/>
        <item x="4"/>
        <item x="0"/>
        <item h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>
      <items count="9">
        <item x="7"/>
        <item x="6"/>
        <item x="4"/>
        <item x="5"/>
        <item x="3"/>
        <item x="2"/>
        <item x="1"/>
        <item x="0"/>
        <item x="8"/>
      </items>
    </pivotField>
    <pivotField compact="0" outline="0" showAll="0" defaultSubtotal="0">
      <items count="7">
        <item x="5"/>
        <item x="1"/>
        <item x="4"/>
        <item x="3"/>
        <item x="2"/>
        <item x="0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axis="axisRow" compact="0" outline="0" showAll="0" defaultSubtotal="0">
      <items count="6">
        <item x="1"/>
        <item x="3"/>
        <item x="2"/>
        <item x="0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1"/>
        <item x="2"/>
        <item x="0"/>
        <item h="1" x="3"/>
        <item h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</pivotFields>
  <rowFields count="2">
    <field x="10"/>
    <field x="9"/>
  </rowFields>
  <rowItems count="5">
    <i>
      <x/>
      <x/>
    </i>
    <i>
      <x v="1"/>
      <x v="1"/>
    </i>
    <i r="1">
      <x v="2"/>
    </i>
    <i>
      <x v="2"/>
      <x v="3"/>
    </i>
    <i t="grand">
      <x/>
    </i>
  </rowItems>
  <colItems count="1">
    <i/>
  </colItems>
  <dataFields count="1">
    <dataField name="VALOR DOS DOS SERVICOS" fld="8" baseField="9" baseItem="0" numFmtId="44"/>
  </dataFields>
  <formats count="37">
    <format dxfId="381">
      <pivotArea field="10" type="button" dataOnly="0" labelOnly="1" outline="0" axis="axisRow" fieldPosition="0"/>
    </format>
    <format dxfId="380">
      <pivotArea dataOnly="0" labelOnly="1" outline="0" fieldPosition="0">
        <references count="1">
          <reference field="10" count="0"/>
        </references>
      </pivotArea>
    </format>
    <format dxfId="379">
      <pivotArea dataOnly="0" labelOnly="1" grandRow="1" outline="0" fieldPosition="0"/>
    </format>
    <format dxfId="378">
      <pivotArea field="9" type="button" dataOnly="0" labelOnly="1" outline="0" axis="axisRow" fieldPosition="1"/>
    </format>
    <format dxfId="377">
      <pivotArea type="all" dataOnly="0" outline="0" fieldPosition="0"/>
    </format>
    <format dxfId="376">
      <pivotArea outline="0" collapsedLevelsAreSubtotals="1" fieldPosition="0"/>
    </format>
    <format dxfId="375">
      <pivotArea field="10" type="button" dataOnly="0" labelOnly="1" outline="0" axis="axisRow" fieldPosition="0"/>
    </format>
    <format dxfId="374">
      <pivotArea field="9" type="button" dataOnly="0" labelOnly="1" outline="0" axis="axisRow" fieldPosition="1"/>
    </format>
    <format dxfId="373">
      <pivotArea dataOnly="0" labelOnly="1" outline="0" fieldPosition="0">
        <references count="1">
          <reference field="10" count="0"/>
        </references>
      </pivotArea>
    </format>
    <format dxfId="372">
      <pivotArea dataOnly="0" labelOnly="1" grandRow="1" outline="0" fieldPosition="0"/>
    </format>
    <format dxfId="371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370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369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368">
      <pivotArea dataOnly="0" labelOnly="1" outline="0" axis="axisValues" fieldPosition="0"/>
    </format>
    <format dxfId="367">
      <pivotArea type="all" dataOnly="0" outline="0" fieldPosition="0"/>
    </format>
    <format dxfId="366">
      <pivotArea outline="0" collapsedLevelsAreSubtotals="1" fieldPosition="0"/>
    </format>
    <format dxfId="365">
      <pivotArea field="10" type="button" dataOnly="0" labelOnly="1" outline="0" axis="axisRow" fieldPosition="0"/>
    </format>
    <format dxfId="364">
      <pivotArea field="9" type="button" dataOnly="0" labelOnly="1" outline="0" axis="axisRow" fieldPosition="1"/>
    </format>
    <format dxfId="363">
      <pivotArea dataOnly="0" labelOnly="1" outline="0" fieldPosition="0">
        <references count="1">
          <reference field="10" count="0"/>
        </references>
      </pivotArea>
    </format>
    <format dxfId="362">
      <pivotArea dataOnly="0" labelOnly="1" grandRow="1" outline="0" fieldPosition="0"/>
    </format>
    <format dxfId="361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360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359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358">
      <pivotArea dataOnly="0" labelOnly="1" outline="0" axis="axisValues" fieldPosition="0"/>
    </format>
    <format dxfId="357">
      <pivotArea type="all" dataOnly="0" outline="0" fieldPosition="0"/>
    </format>
    <format dxfId="356">
      <pivotArea outline="0" collapsedLevelsAreSubtotals="1" fieldPosition="0"/>
    </format>
    <format dxfId="355">
      <pivotArea field="10" type="button" dataOnly="0" labelOnly="1" outline="0" axis="axisRow" fieldPosition="0"/>
    </format>
    <format dxfId="354">
      <pivotArea field="9" type="button" dataOnly="0" labelOnly="1" outline="0" axis="axisRow" fieldPosition="1"/>
    </format>
    <format dxfId="353">
      <pivotArea dataOnly="0" labelOnly="1" outline="0" fieldPosition="0">
        <references count="1">
          <reference field="10" count="0"/>
        </references>
      </pivotArea>
    </format>
    <format dxfId="352">
      <pivotArea dataOnly="0" labelOnly="1" grandRow="1" outline="0" fieldPosition="0"/>
    </format>
    <format dxfId="351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350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349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348">
      <pivotArea dataOnly="0" labelOnly="1" outline="0" axis="axisValues" fieldPosition="0"/>
    </format>
    <format dxfId="347">
      <pivotArea grandRow="1" outline="0" collapsedLevelsAreSubtotals="1" fieldPosition="0"/>
    </format>
    <format dxfId="346">
      <pivotArea grandRow="1" outline="0" collapsedLevelsAreSubtotals="1" fieldPosition="0"/>
    </format>
    <format dxfId="345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62B401-9F9D-4841-926A-C05B3318E968}" name="Tabela dinâ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K2:N10" firstHeaderRow="1" firstDataRow="1" firstDataCol="3"/>
  <pivotFields count="13">
    <pivotField axis="axisRow" compact="0" outline="0" showAll="0" defaultSubtotal="0">
      <items count="7">
        <item h="1" x="5"/>
        <item x="3"/>
        <item x="2"/>
        <item x="1"/>
        <item x="4"/>
        <item x="0"/>
        <item h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axis="axisRow" compact="0" outline="0" showAll="0" defaultSubtotal="0">
      <items count="9">
        <item x="7"/>
        <item x="6"/>
        <item x="4"/>
        <item x="5"/>
        <item x="3"/>
        <item x="2"/>
        <item x="1"/>
        <item x="0"/>
        <item x="8"/>
      </items>
    </pivotField>
    <pivotField axis="axisRow" compact="0" outline="0" showAll="0" defaultSubtotal="0">
      <items count="7">
        <item x="5"/>
        <item x="1"/>
        <item x="4"/>
        <item x="3"/>
        <item x="2"/>
        <item x="0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>
      <items count="6">
        <item x="1"/>
        <item x="3"/>
        <item x="2"/>
        <item x="0"/>
        <item x="4"/>
        <item x="5"/>
      </items>
    </pivotField>
    <pivotField compact="0" outline="0" showAll="0" defaultSubtotal="0">
      <items count="5">
        <item x="1"/>
        <item x="2"/>
        <item x="0"/>
        <item h="1" x="3"/>
        <item h="1" x="4"/>
      </items>
    </pivotField>
    <pivotField compact="0" outline="0" showAll="0" defaultSubtotal="0"/>
    <pivotField compact="0" outline="0" showAll="0" defaultSubtotal="0"/>
  </pivotFields>
  <rowFields count="3">
    <field x="3"/>
    <field x="0"/>
    <field x="2"/>
  </rowFields>
  <rowItems count="8">
    <i>
      <x v="1"/>
      <x v="1"/>
      <x v="1"/>
    </i>
    <i r="1">
      <x v="2"/>
      <x v="5"/>
    </i>
    <i r="1">
      <x v="3"/>
      <x v="6"/>
    </i>
    <i>
      <x v="2"/>
      <x v="4"/>
      <x v="3"/>
    </i>
    <i>
      <x v="3"/>
      <x v="5"/>
      <x v="2"/>
    </i>
    <i>
      <x v="4"/>
      <x v="1"/>
      <x v="4"/>
    </i>
    <i>
      <x v="5"/>
      <x v="5"/>
      <x v="7"/>
    </i>
    <i t="grand">
      <x/>
    </i>
  </rowItems>
  <colItems count="1">
    <i/>
  </colItems>
  <dataFields count="1">
    <dataField name="Soma de VALOR PARCELA" fld="8" baseField="2" baseItem="1" numFmtId="44"/>
  </dataFields>
  <formats count="25">
    <format dxfId="406">
      <pivotArea field="3" type="button" dataOnly="0" labelOnly="1" outline="0" axis="axisRow" fieldPosition="0"/>
    </format>
    <format dxfId="405">
      <pivotArea dataOnly="0" labelOnly="1" outline="0" fieldPosition="0">
        <references count="1">
          <reference field="3" count="5">
            <x v="1"/>
            <x v="2"/>
            <x v="3"/>
            <x v="4"/>
            <x v="5"/>
          </reference>
        </references>
      </pivotArea>
    </format>
    <format dxfId="404">
      <pivotArea dataOnly="0" labelOnly="1" grandRow="1" outline="0" fieldPosition="0"/>
    </format>
    <format dxfId="403">
      <pivotArea type="all" dataOnly="0" outline="0" fieldPosition="0"/>
    </format>
    <format dxfId="402">
      <pivotArea outline="0" collapsedLevelsAreSubtotals="1" fieldPosition="0"/>
    </format>
    <format dxfId="401">
      <pivotArea field="3" type="button" dataOnly="0" labelOnly="1" outline="0" axis="axisRow" fieldPosition="0"/>
    </format>
    <format dxfId="400">
      <pivotArea field="0" type="button" dataOnly="0" labelOnly="1" outline="0" axis="axisRow" fieldPosition="1"/>
    </format>
    <format dxfId="399">
      <pivotArea field="2" type="button" dataOnly="0" labelOnly="1" outline="0" axis="axisRow" fieldPosition="2"/>
    </format>
    <format dxfId="398">
      <pivotArea dataOnly="0" labelOnly="1" outline="0" fieldPosition="0">
        <references count="1">
          <reference field="3" count="5">
            <x v="1"/>
            <x v="2"/>
            <x v="3"/>
            <x v="4"/>
            <x v="5"/>
          </reference>
        </references>
      </pivotArea>
    </format>
    <format dxfId="397">
      <pivotArea dataOnly="0" labelOnly="1" grandRow="1" outline="0" fieldPosition="0"/>
    </format>
    <format dxfId="396">
      <pivotArea dataOnly="0" labelOnly="1" outline="0" fieldPosition="0">
        <references count="2">
          <reference field="0" count="3">
            <x v="1"/>
            <x v="2"/>
            <x v="3"/>
          </reference>
          <reference field="3" count="1" selected="0">
            <x v="1"/>
          </reference>
        </references>
      </pivotArea>
    </format>
    <format dxfId="395">
      <pivotArea dataOnly="0" labelOnly="1" outline="0" fieldPosition="0">
        <references count="2">
          <reference field="0" count="1">
            <x v="4"/>
          </reference>
          <reference field="3" count="1" selected="0">
            <x v="2"/>
          </reference>
        </references>
      </pivotArea>
    </format>
    <format dxfId="394">
      <pivotArea dataOnly="0" labelOnly="1" outline="0" fieldPosition="0">
        <references count="2">
          <reference field="0" count="1">
            <x v="5"/>
          </reference>
          <reference field="3" count="1" selected="0">
            <x v="3"/>
          </reference>
        </references>
      </pivotArea>
    </format>
    <format dxfId="393">
      <pivotArea dataOnly="0" labelOnly="1" outline="0" fieldPosition="0">
        <references count="2">
          <reference field="0" count="1">
            <x v="1"/>
          </reference>
          <reference field="3" count="1" selected="0">
            <x v="4"/>
          </reference>
        </references>
      </pivotArea>
    </format>
    <format dxfId="392">
      <pivotArea dataOnly="0" labelOnly="1" outline="0" fieldPosition="0">
        <references count="2">
          <reference field="0" count="1">
            <x v="5"/>
          </reference>
          <reference field="3" count="1" selected="0">
            <x v="5"/>
          </reference>
        </references>
      </pivotArea>
    </format>
    <format dxfId="391">
      <pivotArea dataOnly="0" labelOnly="1" outline="0" fieldPosition="0">
        <references count="3">
          <reference field="0" count="1" selected="0">
            <x v="1"/>
          </reference>
          <reference field="2" count="1">
            <x v="1"/>
          </reference>
          <reference field="3" count="1" selected="0">
            <x v="1"/>
          </reference>
        </references>
      </pivotArea>
    </format>
    <format dxfId="390">
      <pivotArea dataOnly="0" labelOnly="1" outline="0" fieldPosition="0">
        <references count="3">
          <reference field="0" count="1" selected="0">
            <x v="2"/>
          </reference>
          <reference field="2" count="1">
            <x v="5"/>
          </reference>
          <reference field="3" count="1" selected="0">
            <x v="1"/>
          </reference>
        </references>
      </pivotArea>
    </format>
    <format dxfId="389">
      <pivotArea dataOnly="0" labelOnly="1" outline="0" fieldPosition="0">
        <references count="3">
          <reference field="0" count="1" selected="0">
            <x v="3"/>
          </reference>
          <reference field="2" count="1">
            <x v="6"/>
          </reference>
          <reference field="3" count="1" selected="0">
            <x v="1"/>
          </reference>
        </references>
      </pivotArea>
    </format>
    <format dxfId="388">
      <pivotArea dataOnly="0" labelOnly="1" outline="0" fieldPosition="0">
        <references count="3">
          <reference field="0" count="1" selected="0">
            <x v="4"/>
          </reference>
          <reference field="2" count="1">
            <x v="3"/>
          </reference>
          <reference field="3" count="1" selected="0">
            <x v="2"/>
          </reference>
        </references>
      </pivotArea>
    </format>
    <format dxfId="387">
      <pivotArea dataOnly="0" labelOnly="1" outline="0" fieldPosition="0">
        <references count="3">
          <reference field="0" count="1" selected="0">
            <x v="5"/>
          </reference>
          <reference field="2" count="1">
            <x v="2"/>
          </reference>
          <reference field="3" count="1" selected="0">
            <x v="3"/>
          </reference>
        </references>
      </pivotArea>
    </format>
    <format dxfId="386">
      <pivotArea dataOnly="0" labelOnly="1" outline="0" fieldPosition="0">
        <references count="3">
          <reference field="0" count="1" selected="0">
            <x v="1"/>
          </reference>
          <reference field="2" count="1">
            <x v="4"/>
          </reference>
          <reference field="3" count="1" selected="0">
            <x v="4"/>
          </reference>
        </references>
      </pivotArea>
    </format>
    <format dxfId="385">
      <pivotArea dataOnly="0" labelOnly="1" outline="0" fieldPosition="0">
        <references count="3">
          <reference field="0" count="1" selected="0">
            <x v="5"/>
          </reference>
          <reference field="2" count="1">
            <x v="7"/>
          </reference>
          <reference field="3" count="1" selected="0">
            <x v="5"/>
          </reference>
        </references>
      </pivotArea>
    </format>
    <format dxfId="384">
      <pivotArea dataOnly="0" labelOnly="1" outline="0" axis="axisValues" fieldPosition="0"/>
    </format>
    <format dxfId="383">
      <pivotArea grandRow="1" outline="0" collapsedLevelsAreSubtotals="1" fieldPosition="0"/>
    </format>
    <format dxfId="382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245D12-55AA-47CE-A8AE-6972DA3F71AA}" name="Tabela dinâmica1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G2:K15" firstHeaderRow="1" firstDataRow="1" firstDataCol="4"/>
  <pivotFields count="6">
    <pivotField axis="axisRow" compact="0" outline="0" showAll="0" insertBlankRow="1" defaultSubtotal="0">
      <items count="6">
        <item x="4"/>
        <item x="3"/>
        <item x="1"/>
        <item x="2"/>
        <item x="0"/>
        <item h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</pivotField>
    <pivotField compact="0" outline="0" showAll="0" defaultSubtotal="0"/>
    <pivotField dataField="1" compact="0" outline="0" showAll="0" defaultSubtotal="0"/>
    <pivotField axis="axisRow" compact="0" outline="0" showAll="0" defaultSubtotal="0">
      <items count="6">
        <item x="4"/>
        <item x="1"/>
        <item x="0"/>
        <item x="3"/>
        <item x="2"/>
        <item x="5"/>
      </items>
    </pivotField>
    <pivotField axis="axisRow" compact="0" outline="0" showAll="0" defaultSubtotal="0">
      <items count="3"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0"/>
    <field x="5"/>
    <field x="4"/>
    <field x="1"/>
  </rowFields>
  <rowItems count="13">
    <i>
      <x/>
      <x/>
      <x/>
      <x v="1"/>
    </i>
    <i t="blank">
      <x/>
    </i>
    <i>
      <x v="1"/>
      <x/>
      <x v="2"/>
      <x v="1"/>
    </i>
    <i t="blank">
      <x v="1"/>
    </i>
    <i>
      <x v="2"/>
      <x/>
      <x v="4"/>
      <x/>
    </i>
    <i t="blank">
      <x v="2"/>
    </i>
    <i>
      <x v="3"/>
      <x/>
      <x v="2"/>
      <x/>
    </i>
    <i r="2">
      <x v="3"/>
      <x/>
    </i>
    <i t="blank">
      <x v="3"/>
    </i>
    <i>
      <x v="4"/>
      <x/>
      <x v="1"/>
      <x/>
    </i>
    <i r="1">
      <x v="2"/>
      <x v="2"/>
      <x/>
    </i>
    <i t="blank">
      <x v="4"/>
    </i>
    <i t="grand">
      <x/>
    </i>
  </rowItems>
  <colItems count="1">
    <i/>
  </colItems>
  <dataFields count="1">
    <dataField name="Soma de COMISSÃO" fld="3" baseField="1" baseItem="1" numFmtId="44"/>
  </dataFields>
  <formats count="23">
    <format dxfId="344">
      <pivotArea type="all" dataOnly="0" outline="0" fieldPosition="0"/>
    </format>
    <format dxfId="343">
      <pivotArea outline="0" collapsedLevelsAreSubtotals="1" fieldPosition="0"/>
    </format>
    <format dxfId="342">
      <pivotArea field="0" type="button" dataOnly="0" labelOnly="1" outline="0" axis="axisRow" fieldPosition="0"/>
    </format>
    <format dxfId="341">
      <pivotArea field="5" type="button" dataOnly="0" labelOnly="1" outline="0" axis="axisRow" fieldPosition="1"/>
    </format>
    <format dxfId="340">
      <pivotArea field="4" type="button" dataOnly="0" labelOnly="1" outline="0" axis="axisRow" fieldPosition="2"/>
    </format>
    <format dxfId="339">
      <pivotArea field="1" type="button" dataOnly="0" labelOnly="1" outline="0" axis="axisRow" fieldPosition="3"/>
    </format>
    <format dxfId="338">
      <pivotArea dataOnly="0" labelOnly="1" outline="0" fieldPosition="0">
        <references count="1">
          <reference field="0" count="0"/>
        </references>
      </pivotArea>
    </format>
    <format dxfId="337">
      <pivotArea dataOnly="0" labelOnly="1" grandRow="1" outline="0" fieldPosition="0"/>
    </format>
    <format dxfId="336">
      <pivotArea dataOnly="0" labelOnly="1" outline="0" fieldPosition="0">
        <references count="2">
          <reference field="0" count="1" selected="0">
            <x v="0"/>
          </reference>
          <reference field="5" count="1">
            <x v="0"/>
          </reference>
        </references>
      </pivotArea>
    </format>
    <format dxfId="335">
      <pivotArea dataOnly="0" labelOnly="1" outline="0" fieldPosition="0">
        <references count="3">
          <reference field="0" count="1" selected="0">
            <x v="0"/>
          </reference>
          <reference field="4" count="1">
            <x v="0"/>
          </reference>
          <reference field="5" count="1" selected="0">
            <x v="0"/>
          </reference>
        </references>
      </pivotArea>
    </format>
    <format dxfId="334">
      <pivotArea dataOnly="0" labelOnly="1" outline="0" fieldPosition="0">
        <references count="3">
          <reference field="0" count="1" selected="0">
            <x v="1"/>
          </reference>
          <reference field="4" count="1">
            <x v="2"/>
          </reference>
          <reference field="5" count="1" selected="0">
            <x v="0"/>
          </reference>
        </references>
      </pivotArea>
    </format>
    <format dxfId="333">
      <pivotArea dataOnly="0" labelOnly="1" outline="0" fieldPosition="0">
        <references count="3">
          <reference field="0" count="1" selected="0">
            <x v="2"/>
          </reference>
          <reference field="4" count="1">
            <x v="4"/>
          </reference>
          <reference field="5" count="1" selected="0">
            <x v="0"/>
          </reference>
        </references>
      </pivotArea>
    </format>
    <format dxfId="332">
      <pivotArea dataOnly="0" labelOnly="1" outline="0" fieldPosition="0">
        <references count="3">
          <reference field="0" count="1" selected="0">
            <x v="3"/>
          </reference>
          <reference field="4" count="2">
            <x v="2"/>
            <x v="3"/>
          </reference>
          <reference field="5" count="1" selected="0">
            <x v="0"/>
          </reference>
        </references>
      </pivotArea>
    </format>
    <format dxfId="331">
      <pivotArea dataOnly="0" labelOnly="1" outline="0" fieldPosition="0">
        <references count="3">
          <reference field="0" count="1" selected="0">
            <x v="4"/>
          </reference>
          <reference field="4" count="1">
            <x v="1"/>
          </reference>
          <reference field="5" count="1" selected="0">
            <x v="0"/>
          </reference>
        </references>
      </pivotArea>
    </format>
    <format dxfId="330">
      <pivotArea dataOnly="0" labelOnly="1" outline="0" fieldPosition="0">
        <references count="4">
          <reference field="0" count="1" selected="0">
            <x v="0"/>
          </reference>
          <reference field="1" count="1">
            <x v="1"/>
          </reference>
          <reference field="4" count="1" selected="0">
            <x v="0"/>
          </reference>
          <reference field="5" count="1" selected="0">
            <x v="0"/>
          </reference>
        </references>
      </pivotArea>
    </format>
    <format dxfId="329">
      <pivotArea dataOnly="0" labelOnly="1" outline="0" fieldPosition="0">
        <references count="4">
          <reference field="0" count="1" selected="0">
            <x v="1"/>
          </reference>
          <reference field="1" count="1">
            <x v="1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328">
      <pivotArea dataOnly="0" labelOnly="1" outline="0" fieldPosition="0">
        <references count="4">
          <reference field="0" count="1" selected="0">
            <x v="2"/>
          </reference>
          <reference field="1" count="1">
            <x v="0"/>
          </reference>
          <reference field="4" count="1" selected="0">
            <x v="4"/>
          </reference>
          <reference field="5" count="1" selected="0">
            <x v="0"/>
          </reference>
        </references>
      </pivotArea>
    </format>
    <format dxfId="327">
      <pivotArea dataOnly="0" labelOnly="1" outline="0" fieldPosition="0">
        <references count="4">
          <reference field="0" count="1" selected="0">
            <x v="3"/>
          </reference>
          <reference field="1" count="1">
            <x v="0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326">
      <pivotArea dataOnly="0" labelOnly="1" outline="0" fieldPosition="0">
        <references count="4">
          <reference field="0" count="1" selected="0">
            <x v="3"/>
          </reference>
          <reference field="1" count="1">
            <x v="0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325">
      <pivotArea dataOnly="0" labelOnly="1" outline="0" fieldPosition="0">
        <references count="4">
          <reference field="0" count="1" selected="0">
            <x v="4"/>
          </reference>
          <reference field="1" count="1">
            <x v="0"/>
          </reference>
          <reference field="4" count="1" selected="0">
            <x v="1"/>
          </reference>
          <reference field="5" count="1" selected="0">
            <x v="0"/>
          </reference>
        </references>
      </pivotArea>
    </format>
    <format dxfId="324">
      <pivotArea dataOnly="0" labelOnly="1" outline="0" axis="axisValues" fieldPosition="0"/>
    </format>
    <format dxfId="323">
      <pivotArea field="5" type="button" dataOnly="0" labelOnly="1" outline="0" axis="axisRow" fieldPosition="1"/>
    </format>
    <format dxfId="322">
      <pivotArea field="4" type="button" dataOnly="0" labelOnly="1" outline="0" axis="axisRow" fieldPosition="2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PAGAMENTO" xr10:uid="{253B8CB0-8FBD-4B48-8004-3743715241C6}" sourceName="MÊS PAGAMENTO">
  <pivotTables>
    <pivotTable tabId="8" name="Tabela dinâmica1"/>
    <pivotTable tabId="8" name="Tabela dinâmica2"/>
    <pivotTable tabId="8" name="Tabela dinâmica3"/>
  </pivotTables>
  <data>
    <tabular pivotCacheId="935930637">
      <items count="14">
        <i x="7" s="1"/>
        <i x="11" s="1"/>
        <i x="8" s="1"/>
        <i x="9" s="1"/>
        <i x="10" s="1"/>
        <i x="0" s="1"/>
        <i x="1" s="1"/>
        <i x="2" s="1"/>
        <i x="3" s="1"/>
        <i x="4" s="1"/>
        <i x="5" s="1"/>
        <i x="6" s="1"/>
        <i x="12" s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PAGAMENTO" xr10:uid="{D87E8457-D893-4B20-99E7-4DD470EF4C85}" sourceName="ANO PAGAMENTO">
  <pivotTables>
    <pivotTable tabId="8" name="Tabela dinâmica1"/>
    <pivotTable tabId="8" name="Tabela dinâmica2"/>
    <pivotTable tabId="8" name="Tabela dinâmica3"/>
  </pivotTables>
  <data>
    <tabular pivotCacheId="935930637">
      <items count="6">
        <i x="2" s="1"/>
        <i x="3" s="1"/>
        <i x="0" s="1"/>
        <i x="1" s="1"/>
        <i x="4" s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SERVIÇO" xr10:uid="{D70E1557-BABC-4DBD-BCCA-C9BB651E7D89}" sourceName="MÊS SERVIÇO">
  <pivotTables>
    <pivotTable tabId="5" name="Tabela dinâmica5"/>
    <pivotTable tabId="5" name="Tabela dinâmica4"/>
  </pivotTables>
  <data>
    <tabular pivotCacheId="935930637" crossFilter="showItemsWithNoData">
      <items count="6">
        <i x="1" s="1"/>
        <i x="3" s="1"/>
        <i x="2" s="1"/>
        <i x="0" s="1"/>
        <i x="4" s="1" nd="1"/>
        <i x="5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SERVIÇO" xr10:uid="{90F64AE9-9006-422F-8681-C586C3CEE012}" sourceName="ANO SERVIÇO">
  <pivotTables>
    <pivotTable tabId="5" name="Tabela dinâmica5"/>
    <pivotTable tabId="5" name="Tabela dinâmica4"/>
  </pivotTables>
  <data>
    <tabular pivotCacheId="935930637" crossFilter="showItemsWithNoData">
      <items count="5">
        <i x="1" s="1"/>
        <i x="2" s="1"/>
        <i x="0" s="1"/>
        <i x="3"/>
        <i x="4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SERVICO" xr10:uid="{C7F9866F-8DB7-455D-B2A8-A070FA490769}" sourceName="MÊS SERVICO">
  <pivotTables>
    <pivotTable tabId="9" name="Tabela dinâmica1"/>
  </pivotTables>
  <data>
    <tabular pivotCacheId="937508090">
      <items count="6">
        <i x="4" s="1"/>
        <i x="1" s="1"/>
        <i x="0" s="1"/>
        <i x="3" s="1"/>
        <i x="2" s="1"/>
        <i x="5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SERVICO" xr10:uid="{0564CC9D-E448-4E62-9EA8-7AF487954173}" sourceName="ANO SERVICO">
  <pivotTables>
    <pivotTable tabId="9" name="Tabela dinâmica1"/>
  </pivotTables>
  <data>
    <tabular pivotCacheId="937508090">
      <items count="3">
        <i x="1" s="1"/>
        <i x="0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PAGAMENTO" xr10:uid="{76E632BD-312C-4E9E-A931-F0504B7DCFB2}" cache="SegmentaçãodeDados_MÊS_PAGAMENTO" caption="MÊS PAGAMENTO" style="SlicerStyleDark5" lockedPosition="1" rowHeight="180000"/>
  <slicer name="ANO PAGAMENTO" xr10:uid="{DE213B28-DDB6-49FD-B12E-A3B740EC649A}" cache="SegmentaçãodeDados_ANO_PAGAMENTO" caption="ANO PAGAMENTO" style="SlicerStyleDark5" lockedPosition="1" rowHeight="180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SERVIÇO" xr10:uid="{224192A5-FE41-4394-B41E-971850475050}" cache="SegmentaçãodeDados_MÊS_SERVIÇO" caption="MÊS SERVIÇO" style="SlicerStyleDark5" lockedPosition="1" rowHeight="241300"/>
  <slicer name="ANO SERVIÇO" xr10:uid="{75C09D3A-4F9C-4F0A-A072-9F473B798122}" cache="SegmentaçãodeDados_ANO_SERVIÇO" caption="ANO SERVIÇO" style="SlicerStyleDark5" lockedPosition="1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SERVICO" xr10:uid="{29DD0BC1-998E-4D7E-8CB9-B547F58E8430}" cache="SegmentaçãodeDados_MÊS_SERVICO" caption="MÊS SERVICO" lockedPosition="1" rowHeight="241300"/>
  <slicer name="ANO SERVICO" xr10:uid="{5595681B-7F44-4AEA-9E4E-41C13C55A0DB}" cache="SegmentaçãodeDados_ANO_SERVICO" caption="ANO SERVICO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BD38A0-A78F-4DBD-ADB1-5BE31BBCB9F3}" name="Tabela13" displayName="Tabela13" ref="A1:E28" totalsRowShown="0" headerRowDxfId="468" dataDxfId="466" headerRowBorderDxfId="467" tableBorderDxfId="465" totalsRowBorderDxfId="464">
  <tableColumns count="5">
    <tableColumn id="1" xr3:uid="{41BB5AD6-9B55-439B-A267-DB978778B081}" name="Nome" dataDxfId="463"/>
    <tableColumn id="2" xr3:uid="{86672887-135C-41F3-9F41-8482917D20CA}" name="CPF" dataDxfId="462"/>
    <tableColumn id="3" xr3:uid="{B5EE3CD0-BC0F-41A9-BFE6-58DE08DE13F1}" name="CARGO" dataDxfId="461"/>
    <tableColumn id="4" xr3:uid="{81D1564E-685F-4375-9298-A35D849043B6}" name="EMAIL" dataDxfId="460"/>
    <tableColumn id="5" xr3:uid="{A18125EC-5DCD-4DC7-B688-F3C3E0A62EBC}" name="DATA CADASTRO" dataDxfId="459" dataCellStyle="Moeda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E1CD2-B9B9-46A8-AE3A-900194E1C3F8}" name="Tabela134" displayName="Tabela134" ref="A1:F25" totalsRowShown="0" headerRowDxfId="458" dataDxfId="456" headerRowBorderDxfId="457" tableBorderDxfId="455" totalsRowBorderDxfId="454">
  <tableColumns count="6">
    <tableColumn id="1" xr3:uid="{A992D616-629B-4ED4-9DDE-A36E7EE6A19C}" name="Nome" dataDxfId="453"/>
    <tableColumn id="2" xr3:uid="{BB8A4FB3-8149-4CC2-BF5E-D4B56B342B1E}" name="CPF" dataDxfId="452"/>
    <tableColumn id="3" xr3:uid="{1E0D060B-32BE-4491-92A7-1E999D2E55A0}" name="CARGO" dataDxfId="451"/>
    <tableColumn id="4" xr3:uid="{D7CA9B26-5B17-439F-B431-F248B3CA6288}" name="EMAIL" dataDxfId="450"/>
    <tableColumn id="5" xr3:uid="{13F9A03D-D712-4CB8-A749-74739C3539DA}" name="Admissão" dataDxfId="449" dataCellStyle="Moeda"/>
    <tableColumn id="6" xr3:uid="{A4871059-E9CC-4DBF-9FBF-CA4D96BB84BE}" name="COMISSÃO" dataDxfId="448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ANTONIO@PRODUTOR" TargetMode="External"/><Relationship Id="rId1" Type="http://schemas.openxmlformats.org/officeDocument/2006/relationships/hyperlink" Target="mailto:menina@flores" TargetMode="External"/><Relationship Id="rId5" Type="http://schemas.openxmlformats.org/officeDocument/2006/relationships/table" Target="../tables/table2.x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microsoft.com/office/2007/relationships/slicer" Target="../slicers/slicer2.xml"/><Relationship Id="rId4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6.xml"/><Relationship Id="rId4" Type="http://schemas.microsoft.com/office/2007/relationships/slicer" Target="../slicers/slicer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D4591-F9D9-4F21-821E-5F9AAC110E57}">
  <sheetPr codeName="Planilha10"/>
  <dimension ref="A1:S29"/>
  <sheetViews>
    <sheetView showGridLines="0" showRowColHeaders="0" tabSelected="1" workbookViewId="0">
      <pane xSplit="19" ySplit="29" topLeftCell="T30" activePane="bottomRight" state="frozen"/>
      <selection pane="topRight" activeCell="T1" sqref="T1"/>
      <selection pane="bottomLeft" activeCell="A30" sqref="A30"/>
      <selection pane="bottomRight"/>
    </sheetView>
  </sheetViews>
  <sheetFormatPr defaultRowHeight="14.5"/>
  <cols>
    <col min="1" max="1" width="5.453125" customWidth="1"/>
    <col min="17" max="17" width="18.26953125" bestFit="1" customWidth="1"/>
    <col min="19" max="19" width="4.1796875" customWidth="1"/>
  </cols>
  <sheetData>
    <row r="1" spans="1:19" ht="15" thickBot="1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</row>
    <row r="2" spans="1:19" ht="19.5" thickBot="1">
      <c r="A2" s="55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8">
        <f ca="1">TODAY()</f>
        <v>45105</v>
      </c>
      <c r="R2" s="56"/>
      <c r="S2" s="55"/>
    </row>
    <row r="3" spans="1:19" ht="62" thickBot="1">
      <c r="A3" s="55"/>
      <c r="B3" s="56"/>
      <c r="C3" s="56"/>
      <c r="D3" s="56"/>
      <c r="E3" s="56"/>
      <c r="F3" s="56"/>
      <c r="G3" s="137" t="s">
        <v>77</v>
      </c>
      <c r="H3" s="138"/>
      <c r="I3" s="138"/>
      <c r="J3" s="138"/>
      <c r="K3" s="138"/>
      <c r="L3" s="138"/>
      <c r="M3" s="139"/>
      <c r="N3" s="56"/>
      <c r="O3" s="56"/>
      <c r="P3" s="56"/>
      <c r="Q3" s="56"/>
      <c r="R3" s="56"/>
      <c r="S3" s="55"/>
    </row>
    <row r="4" spans="1:19">
      <c r="A4" s="55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5"/>
    </row>
    <row r="5" spans="1:19">
      <c r="A5" s="55"/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6"/>
      <c r="S5" s="55"/>
    </row>
    <row r="6" spans="1:19">
      <c r="A6" s="55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6"/>
      <c r="S6" s="55"/>
    </row>
    <row r="7" spans="1:19">
      <c r="A7" s="55"/>
      <c r="B7" s="56"/>
      <c r="C7" s="57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6"/>
      <c r="S7" s="55"/>
    </row>
    <row r="8" spans="1:19">
      <c r="A8" s="55"/>
      <c r="B8" s="56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6"/>
      <c r="S8" s="55"/>
    </row>
    <row r="9" spans="1:19">
      <c r="A9" s="55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5"/>
    </row>
    <row r="10" spans="1:19">
      <c r="A10" s="55"/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5"/>
    </row>
    <row r="11" spans="1:19">
      <c r="A11" s="55"/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5"/>
    </row>
    <row r="12" spans="1:19">
      <c r="A12" s="55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5"/>
    </row>
    <row r="13" spans="1:19">
      <c r="A13" s="55"/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5"/>
    </row>
    <row r="14" spans="1:19">
      <c r="A14" s="55"/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5"/>
    </row>
    <row r="15" spans="1:19">
      <c r="A15" s="55"/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5"/>
    </row>
    <row r="16" spans="1:19">
      <c r="A16" s="55"/>
      <c r="B16" s="56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5"/>
    </row>
    <row r="17" spans="1:19">
      <c r="A17" s="55"/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5"/>
    </row>
    <row r="18" spans="1:19">
      <c r="A18" s="55"/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5"/>
    </row>
    <row r="19" spans="1:19">
      <c r="A19" s="55"/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5"/>
    </row>
    <row r="20" spans="1:19">
      <c r="A20" s="55"/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5"/>
    </row>
    <row r="21" spans="1:19">
      <c r="A21" s="55"/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5"/>
    </row>
    <row r="22" spans="1:19">
      <c r="A22" s="55"/>
      <c r="B22" s="56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5"/>
    </row>
    <row r="23" spans="1:19">
      <c r="A23" s="55"/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5"/>
    </row>
    <row r="24" spans="1:19">
      <c r="A24" s="55"/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5"/>
    </row>
    <row r="25" spans="1:19">
      <c r="A25" s="55"/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5"/>
    </row>
    <row r="26" spans="1:19">
      <c r="A26" s="55"/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5"/>
    </row>
    <row r="27" spans="1:19">
      <c r="A27" s="55"/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5"/>
    </row>
    <row r="28" spans="1:19">
      <c r="A28" s="55"/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5"/>
    </row>
    <row r="29" spans="1:19">
      <c r="A29" s="55"/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</row>
  </sheetData>
  <mergeCells count="1">
    <mergeCell ref="G3:M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166-21FE-4F04-94EA-9414EB98E708}">
  <sheetPr codeName="Planilha4"/>
  <dimension ref="A1:E29"/>
  <sheetViews>
    <sheetView workbookViewId="0">
      <pane xSplit="9" ySplit="27" topLeftCell="J28" activePane="bottomRight" state="frozen"/>
      <selection pane="topRight" activeCell="J1" sqref="J1"/>
      <selection pane="bottomLeft" activeCell="A28" sqref="A28"/>
      <selection pane="bottomRight"/>
    </sheetView>
  </sheetViews>
  <sheetFormatPr defaultRowHeight="14.5"/>
  <cols>
    <col min="1" max="1" width="23" bestFit="1" customWidth="1"/>
    <col min="2" max="3" width="22" customWidth="1"/>
    <col min="4" max="4" width="31.81640625" bestFit="1" customWidth="1"/>
    <col min="5" max="5" width="16.453125" style="23" customWidth="1"/>
    <col min="6" max="6" width="12" customWidth="1"/>
    <col min="7" max="7" width="13" customWidth="1"/>
  </cols>
  <sheetData>
    <row r="1" spans="1:5" s="47" customFormat="1">
      <c r="A1" s="44" t="s">
        <v>55</v>
      </c>
      <c r="B1" s="45" t="s">
        <v>1</v>
      </c>
      <c r="C1" s="45" t="s">
        <v>56</v>
      </c>
      <c r="D1" s="45" t="s">
        <v>57</v>
      </c>
      <c r="E1" s="46" t="s">
        <v>15</v>
      </c>
    </row>
    <row r="2" spans="1:5" s="34" customFormat="1">
      <c r="A2" s="35" t="s">
        <v>12</v>
      </c>
      <c r="B2" s="36">
        <v>202020202020</v>
      </c>
      <c r="C2" s="36" t="s">
        <v>31</v>
      </c>
      <c r="D2" s="36" t="s">
        <v>59</v>
      </c>
      <c r="E2" s="37" t="s">
        <v>16</v>
      </c>
    </row>
    <row r="3" spans="1:5" s="34" customFormat="1">
      <c r="A3" s="35" t="s">
        <v>13</v>
      </c>
      <c r="B3" s="36">
        <v>3030303030303</v>
      </c>
      <c r="C3" s="36" t="s">
        <v>31</v>
      </c>
      <c r="D3" s="36" t="s">
        <v>60</v>
      </c>
      <c r="E3" s="37">
        <v>35977</v>
      </c>
    </row>
    <row r="4" spans="1:5" s="34" customFormat="1">
      <c r="A4" s="35" t="s">
        <v>24</v>
      </c>
      <c r="B4" s="36">
        <v>33311122200</v>
      </c>
      <c r="C4" s="36" t="s">
        <v>31</v>
      </c>
      <c r="D4" s="36" t="s">
        <v>61</v>
      </c>
      <c r="E4" s="37">
        <v>37021</v>
      </c>
    </row>
    <row r="5" spans="1:5" s="34" customFormat="1">
      <c r="A5" s="35" t="s">
        <v>26</v>
      </c>
      <c r="B5" s="38">
        <v>8244227427</v>
      </c>
      <c r="C5" s="36" t="s">
        <v>27</v>
      </c>
      <c r="D5" s="36" t="s">
        <v>62</v>
      </c>
      <c r="E5" s="37">
        <v>43545</v>
      </c>
    </row>
    <row r="6" spans="1:5" s="34" customFormat="1">
      <c r="A6" s="35" t="s">
        <v>28</v>
      </c>
      <c r="B6" s="38">
        <v>14042620752</v>
      </c>
      <c r="C6" s="36" t="s">
        <v>29</v>
      </c>
      <c r="D6" s="36" t="s">
        <v>63</v>
      </c>
      <c r="E6" s="37">
        <v>43555</v>
      </c>
    </row>
    <row r="7" spans="1:5" s="34" customFormat="1">
      <c r="A7" s="35" t="s">
        <v>30</v>
      </c>
      <c r="B7" s="38">
        <v>6677993262</v>
      </c>
      <c r="C7" s="36" t="s">
        <v>31</v>
      </c>
      <c r="D7" s="36" t="s">
        <v>64</v>
      </c>
      <c r="E7" s="37">
        <v>43565</v>
      </c>
    </row>
    <row r="8" spans="1:5" s="34" customFormat="1">
      <c r="A8" s="35" t="s">
        <v>32</v>
      </c>
      <c r="B8" s="38">
        <v>13481923178</v>
      </c>
      <c r="C8" s="36" t="s">
        <v>33</v>
      </c>
      <c r="D8" s="36" t="s">
        <v>65</v>
      </c>
      <c r="E8" s="37">
        <v>43575</v>
      </c>
    </row>
    <row r="9" spans="1:5" s="34" customFormat="1">
      <c r="A9" s="35" t="s">
        <v>34</v>
      </c>
      <c r="B9" s="38">
        <v>7303330974</v>
      </c>
      <c r="C9" s="36" t="s">
        <v>33</v>
      </c>
      <c r="D9" s="36" t="s">
        <v>65</v>
      </c>
      <c r="E9" s="37">
        <v>43585</v>
      </c>
    </row>
    <row r="10" spans="1:5" s="34" customFormat="1">
      <c r="A10" s="35" t="s">
        <v>35</v>
      </c>
      <c r="B10" s="38">
        <v>8534793687</v>
      </c>
      <c r="C10" s="36" t="s">
        <v>31</v>
      </c>
      <c r="D10" s="36" t="s">
        <v>64</v>
      </c>
      <c r="E10" s="37">
        <v>43595</v>
      </c>
    </row>
    <row r="11" spans="1:5" s="34" customFormat="1">
      <c r="A11" s="35" t="s">
        <v>36</v>
      </c>
      <c r="B11" s="38">
        <v>12790015618</v>
      </c>
      <c r="C11" s="36" t="s">
        <v>37</v>
      </c>
      <c r="D11" s="36" t="s">
        <v>66</v>
      </c>
      <c r="E11" s="37">
        <v>43605</v>
      </c>
    </row>
    <row r="12" spans="1:5" s="34" customFormat="1">
      <c r="A12" s="35" t="s">
        <v>38</v>
      </c>
      <c r="B12" s="38">
        <v>10403073100</v>
      </c>
      <c r="C12" s="36" t="s">
        <v>27</v>
      </c>
      <c r="D12" s="36" t="s">
        <v>62</v>
      </c>
      <c r="E12" s="37">
        <v>43615</v>
      </c>
    </row>
    <row r="13" spans="1:5" s="34" customFormat="1">
      <c r="A13" s="35" t="s">
        <v>39</v>
      </c>
      <c r="B13" s="38">
        <v>8141976567</v>
      </c>
      <c r="C13" s="36" t="s">
        <v>33</v>
      </c>
      <c r="D13" s="36" t="s">
        <v>65</v>
      </c>
      <c r="E13" s="37">
        <v>43625</v>
      </c>
    </row>
    <row r="14" spans="1:5" s="34" customFormat="1">
      <c r="A14" s="35" t="s">
        <v>40</v>
      </c>
      <c r="B14" s="38">
        <v>13753218615</v>
      </c>
      <c r="C14" s="36" t="s">
        <v>33</v>
      </c>
      <c r="D14" s="36" t="s">
        <v>65</v>
      </c>
      <c r="E14" s="37">
        <v>43635</v>
      </c>
    </row>
    <row r="15" spans="1:5" s="34" customFormat="1">
      <c r="A15" s="35" t="s">
        <v>41</v>
      </c>
      <c r="B15" s="38">
        <v>13365514967</v>
      </c>
      <c r="C15" s="36" t="s">
        <v>27</v>
      </c>
      <c r="D15" s="36" t="s">
        <v>62</v>
      </c>
      <c r="E15" s="37">
        <v>43645</v>
      </c>
    </row>
    <row r="16" spans="1:5" s="34" customFormat="1">
      <c r="A16" s="35" t="s">
        <v>42</v>
      </c>
      <c r="B16" s="38">
        <v>10700047349</v>
      </c>
      <c r="C16" s="36" t="s">
        <v>27</v>
      </c>
      <c r="D16" s="36" t="s">
        <v>62</v>
      </c>
      <c r="E16" s="37">
        <v>43655</v>
      </c>
    </row>
    <row r="17" spans="1:5" s="34" customFormat="1">
      <c r="A17" s="35" t="s">
        <v>43</v>
      </c>
      <c r="B17" s="38">
        <v>13335156751</v>
      </c>
      <c r="C17" s="36" t="s">
        <v>29</v>
      </c>
      <c r="D17" s="36" t="s">
        <v>63</v>
      </c>
      <c r="E17" s="37">
        <v>43665</v>
      </c>
    </row>
    <row r="18" spans="1:5" s="34" customFormat="1">
      <c r="A18" s="35" t="s">
        <v>44</v>
      </c>
      <c r="B18" s="38">
        <v>13672562963</v>
      </c>
      <c r="C18" s="36" t="s">
        <v>33</v>
      </c>
      <c r="D18" s="36" t="s">
        <v>65</v>
      </c>
      <c r="E18" s="37">
        <v>43675</v>
      </c>
    </row>
    <row r="19" spans="1:5" s="34" customFormat="1">
      <c r="A19" s="35" t="s">
        <v>45</v>
      </c>
      <c r="B19" s="38">
        <v>14074531754</v>
      </c>
      <c r="C19" s="36" t="s">
        <v>46</v>
      </c>
      <c r="D19" s="36" t="s">
        <v>67</v>
      </c>
      <c r="E19" s="37">
        <v>43685</v>
      </c>
    </row>
    <row r="20" spans="1:5" s="34" customFormat="1">
      <c r="A20" s="35" t="s">
        <v>47</v>
      </c>
      <c r="B20" s="38">
        <v>11085752980</v>
      </c>
      <c r="C20" s="36" t="s">
        <v>31</v>
      </c>
      <c r="D20" s="36" t="s">
        <v>64</v>
      </c>
      <c r="E20" s="37">
        <v>43695</v>
      </c>
    </row>
    <row r="21" spans="1:5" s="34" customFormat="1">
      <c r="A21" s="35" t="s">
        <v>48</v>
      </c>
      <c r="B21" s="38">
        <v>13616340129</v>
      </c>
      <c r="C21" s="36" t="s">
        <v>31</v>
      </c>
      <c r="D21" s="36" t="s">
        <v>64</v>
      </c>
      <c r="E21" s="37">
        <v>43705</v>
      </c>
    </row>
    <row r="22" spans="1:5" s="34" customFormat="1">
      <c r="A22" s="35" t="s">
        <v>49</v>
      </c>
      <c r="B22" s="38">
        <v>12751153973</v>
      </c>
      <c r="C22" s="36" t="s">
        <v>37</v>
      </c>
      <c r="D22" s="36" t="s">
        <v>66</v>
      </c>
      <c r="E22" s="37">
        <v>43715</v>
      </c>
    </row>
    <row r="23" spans="1:5" s="34" customFormat="1">
      <c r="A23" s="35" t="s">
        <v>50</v>
      </c>
      <c r="B23" s="38">
        <v>15178223721</v>
      </c>
      <c r="C23" s="36" t="s">
        <v>37</v>
      </c>
      <c r="D23" s="36" t="s">
        <v>66</v>
      </c>
      <c r="E23" s="37">
        <v>43725</v>
      </c>
    </row>
    <row r="24" spans="1:5" s="34" customFormat="1">
      <c r="A24" s="35" t="s">
        <v>51</v>
      </c>
      <c r="B24" s="38">
        <v>10198144634</v>
      </c>
      <c r="C24" s="36" t="s">
        <v>31</v>
      </c>
      <c r="D24" s="36" t="s">
        <v>64</v>
      </c>
      <c r="E24" s="37">
        <v>43735</v>
      </c>
    </row>
    <row r="25" spans="1:5" s="34" customFormat="1">
      <c r="A25" s="35" t="s">
        <v>52</v>
      </c>
      <c r="B25" s="38">
        <v>12146480128</v>
      </c>
      <c r="C25" s="36" t="s">
        <v>46</v>
      </c>
      <c r="D25" s="36" t="s">
        <v>67</v>
      </c>
      <c r="E25" s="37">
        <v>43745</v>
      </c>
    </row>
    <row r="26" spans="1:5" s="34" customFormat="1">
      <c r="A26" s="35" t="s">
        <v>53</v>
      </c>
      <c r="B26" s="38">
        <v>9786760977</v>
      </c>
      <c r="C26" s="36" t="s">
        <v>37</v>
      </c>
      <c r="D26" s="36" t="s">
        <v>66</v>
      </c>
      <c r="E26" s="37">
        <v>43755</v>
      </c>
    </row>
    <row r="27" spans="1:5" s="34" customFormat="1">
      <c r="A27" s="35" t="s">
        <v>54</v>
      </c>
      <c r="B27" s="38">
        <v>14440278194</v>
      </c>
      <c r="C27" s="36" t="s">
        <v>27</v>
      </c>
      <c r="D27" s="36" t="s">
        <v>62</v>
      </c>
      <c r="E27" s="37">
        <v>43765</v>
      </c>
    </row>
    <row r="28" spans="1:5" s="34" customFormat="1">
      <c r="A28" s="39" t="s">
        <v>58</v>
      </c>
      <c r="B28" s="40">
        <v>12345678910</v>
      </c>
      <c r="C28" s="41" t="s">
        <v>27</v>
      </c>
      <c r="D28" s="41" t="s">
        <v>62</v>
      </c>
      <c r="E28" s="42">
        <v>43775</v>
      </c>
    </row>
    <row r="29" spans="1:5" s="34" customFormat="1">
      <c r="E29" s="43"/>
    </row>
  </sheetData>
  <sheetProtection selectLockedCells="1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6E88A-17EF-4CA6-B04E-2191E984CDCE}">
  <sheetPr codeName="Planilha9"/>
  <dimension ref="A1:L26"/>
  <sheetViews>
    <sheetView showGridLines="0" showRowColHeaders="0" workbookViewId="0">
      <pane xSplit="11" ySplit="26" topLeftCell="L27" activePane="bottomRight" state="frozen"/>
      <selection pane="topRight" activeCell="L1" sqref="L1"/>
      <selection pane="bottomLeft" activeCell="A27" sqref="A27"/>
      <selection pane="bottomRight"/>
    </sheetView>
  </sheetViews>
  <sheetFormatPr defaultColWidth="0" defaultRowHeight="14.5" zeroHeight="1"/>
  <cols>
    <col min="1" max="1" width="24.26953125" bestFit="1" customWidth="1"/>
    <col min="2" max="2" width="14.1796875" bestFit="1" customWidth="1"/>
    <col min="3" max="3" width="13.1796875" bestFit="1" customWidth="1"/>
    <col min="4" max="4" width="31.81640625" bestFit="1" customWidth="1"/>
    <col min="5" max="5" width="15.1796875" bestFit="1" customWidth="1"/>
    <col min="6" max="6" width="16.81640625" customWidth="1"/>
    <col min="7" max="9" width="9.1796875" customWidth="1"/>
    <col min="10" max="12" width="0" hidden="1" customWidth="1"/>
    <col min="13" max="16384" width="9.1796875" hidden="1"/>
  </cols>
  <sheetData>
    <row r="1" spans="1:12">
      <c r="A1" s="32" t="s">
        <v>55</v>
      </c>
      <c r="B1" s="32" t="s">
        <v>1</v>
      </c>
      <c r="C1" s="32" t="s">
        <v>56</v>
      </c>
      <c r="D1" s="32" t="s">
        <v>57</v>
      </c>
      <c r="E1" s="32" t="s">
        <v>68</v>
      </c>
      <c r="F1" s="27" t="s">
        <v>25</v>
      </c>
    </row>
    <row r="2" spans="1:12">
      <c r="A2" s="28" t="s">
        <v>26</v>
      </c>
      <c r="B2" s="26">
        <v>8244227427</v>
      </c>
      <c r="C2" s="25" t="s">
        <v>27</v>
      </c>
      <c r="D2" t="s">
        <v>62</v>
      </c>
      <c r="E2" s="10">
        <v>43545</v>
      </c>
      <c r="F2" s="33">
        <v>0.1</v>
      </c>
    </row>
    <row r="3" spans="1:12">
      <c r="A3" s="28" t="s">
        <v>28</v>
      </c>
      <c r="B3" s="26">
        <v>14042620752</v>
      </c>
      <c r="C3" s="25" t="s">
        <v>29</v>
      </c>
      <c r="D3" t="s">
        <v>63</v>
      </c>
      <c r="E3" s="10">
        <v>43555</v>
      </c>
      <c r="F3" s="33">
        <v>0.15</v>
      </c>
      <c r="H3" s="50"/>
    </row>
    <row r="4" spans="1:12">
      <c r="A4" s="28" t="s">
        <v>30</v>
      </c>
      <c r="B4" s="26">
        <v>6677993262</v>
      </c>
      <c r="C4" s="25" t="s">
        <v>31</v>
      </c>
      <c r="D4" t="s">
        <v>64</v>
      </c>
      <c r="E4" s="10">
        <v>43565</v>
      </c>
      <c r="F4" s="33">
        <v>0.02</v>
      </c>
      <c r="H4" s="51"/>
    </row>
    <row r="5" spans="1:12">
      <c r="A5" s="28" t="s">
        <v>32</v>
      </c>
      <c r="B5" s="26">
        <v>13481923178</v>
      </c>
      <c r="C5" s="25" t="s">
        <v>33</v>
      </c>
      <c r="D5" t="s">
        <v>65</v>
      </c>
      <c r="E5" s="10">
        <v>43575</v>
      </c>
      <c r="F5" s="33">
        <v>0.35</v>
      </c>
      <c r="H5" s="51"/>
      <c r="J5" s="50"/>
    </row>
    <row r="6" spans="1:12">
      <c r="A6" s="28" t="s">
        <v>34</v>
      </c>
      <c r="B6" s="26">
        <v>7303330974</v>
      </c>
      <c r="C6" s="25" t="s">
        <v>33</v>
      </c>
      <c r="D6" t="s">
        <v>65</v>
      </c>
      <c r="E6" s="10">
        <v>43585</v>
      </c>
      <c r="F6" s="33">
        <v>0.2</v>
      </c>
      <c r="H6" s="51"/>
      <c r="J6" s="51"/>
    </row>
    <row r="7" spans="1:12">
      <c r="A7" s="28" t="s">
        <v>35</v>
      </c>
      <c r="B7" s="26">
        <v>8534793687</v>
      </c>
      <c r="C7" s="25" t="s">
        <v>31</v>
      </c>
      <c r="D7" t="s">
        <v>64</v>
      </c>
      <c r="E7" s="10">
        <v>43595</v>
      </c>
      <c r="F7" s="33">
        <v>0.05</v>
      </c>
      <c r="H7" s="52"/>
      <c r="J7" s="51"/>
    </row>
    <row r="8" spans="1:12">
      <c r="A8" s="28" t="s">
        <v>69</v>
      </c>
      <c r="B8" s="26" t="s">
        <v>70</v>
      </c>
      <c r="C8" s="25" t="s">
        <v>71</v>
      </c>
      <c r="D8" s="7" t="s">
        <v>72</v>
      </c>
      <c r="E8" s="10">
        <v>45017</v>
      </c>
      <c r="F8" s="33">
        <v>0.55000000000000004</v>
      </c>
      <c r="H8" s="51"/>
      <c r="J8" s="51"/>
    </row>
    <row r="9" spans="1:12">
      <c r="A9" s="28" t="s">
        <v>78</v>
      </c>
      <c r="B9" s="26" t="s">
        <v>79</v>
      </c>
      <c r="C9" s="25" t="s">
        <v>80</v>
      </c>
      <c r="D9" s="7" t="s">
        <v>81</v>
      </c>
      <c r="E9" s="10">
        <v>45768</v>
      </c>
      <c r="F9" s="33">
        <v>0.1</v>
      </c>
      <c r="H9" s="53"/>
      <c r="I9" s="34"/>
      <c r="J9" s="54"/>
      <c r="K9" s="34"/>
      <c r="L9" s="34"/>
    </row>
    <row r="10" spans="1:12">
      <c r="A10" s="28"/>
      <c r="B10" s="26"/>
      <c r="C10" s="25"/>
      <c r="E10" s="10"/>
      <c r="H10" s="53"/>
      <c r="I10" s="34"/>
      <c r="J10" s="53"/>
      <c r="K10" s="34"/>
      <c r="L10" s="34"/>
    </row>
    <row r="11" spans="1:12">
      <c r="A11" s="28"/>
      <c r="B11" s="26"/>
      <c r="C11" s="25"/>
      <c r="E11" s="10"/>
      <c r="H11" s="54"/>
      <c r="I11" s="34"/>
      <c r="J11" s="53"/>
      <c r="K11" s="34"/>
      <c r="L11" s="34"/>
    </row>
    <row r="12" spans="1:12">
      <c r="A12" s="28"/>
      <c r="B12" s="26"/>
      <c r="C12" s="25"/>
      <c r="E12" s="10"/>
      <c r="H12" s="53"/>
      <c r="I12" s="34"/>
      <c r="J12" s="53"/>
      <c r="K12" s="34"/>
      <c r="L12" s="34"/>
    </row>
    <row r="13" spans="1:12">
      <c r="A13" s="28"/>
      <c r="B13" s="26"/>
      <c r="C13" s="25"/>
      <c r="E13" s="10"/>
      <c r="H13" s="53"/>
      <c r="I13" s="34"/>
      <c r="J13" s="54"/>
      <c r="K13" s="34"/>
      <c r="L13" s="34"/>
    </row>
    <row r="14" spans="1:12">
      <c r="A14" s="28"/>
      <c r="B14" s="26"/>
      <c r="C14" s="25"/>
      <c r="E14" s="10"/>
      <c r="H14" s="53"/>
      <c r="I14" s="34"/>
      <c r="J14" s="53"/>
      <c r="K14" s="34"/>
      <c r="L14" s="34"/>
    </row>
    <row r="15" spans="1:12">
      <c r="A15" s="28"/>
      <c r="B15" s="26"/>
      <c r="C15" s="25"/>
      <c r="E15" s="10"/>
      <c r="H15" s="34"/>
      <c r="I15" s="34"/>
      <c r="J15" s="53"/>
      <c r="K15" s="34"/>
      <c r="L15" s="34"/>
    </row>
    <row r="16" spans="1:12">
      <c r="A16" s="28"/>
      <c r="B16" s="26"/>
      <c r="C16" s="25"/>
      <c r="E16" s="10"/>
      <c r="H16" s="34"/>
      <c r="I16" s="34"/>
      <c r="J16" s="53"/>
      <c r="K16" s="34"/>
      <c r="L16" s="34"/>
    </row>
    <row r="17" spans="1:12">
      <c r="A17" s="28"/>
      <c r="B17" s="26"/>
      <c r="C17" s="25"/>
      <c r="E17" s="10"/>
      <c r="H17" s="34"/>
      <c r="I17" s="34"/>
      <c r="J17" s="34"/>
      <c r="K17" s="34"/>
      <c r="L17" s="34"/>
    </row>
    <row r="18" spans="1:12">
      <c r="A18" s="28"/>
      <c r="B18" s="26"/>
      <c r="C18" s="25"/>
      <c r="E18" s="10"/>
      <c r="H18" s="34"/>
      <c r="I18" s="34"/>
      <c r="J18" s="34"/>
      <c r="K18" s="34"/>
      <c r="L18" s="34"/>
    </row>
    <row r="19" spans="1:12">
      <c r="A19" s="28"/>
      <c r="B19" s="26"/>
      <c r="C19" s="25"/>
      <c r="E19" s="10"/>
      <c r="H19" s="34"/>
      <c r="I19" s="34"/>
      <c r="J19" s="34"/>
      <c r="K19" s="34"/>
      <c r="L19" s="34"/>
    </row>
    <row r="20" spans="1:12">
      <c r="A20" s="28"/>
      <c r="B20" s="26"/>
      <c r="C20" s="25"/>
      <c r="E20" s="10"/>
      <c r="H20" s="34"/>
      <c r="I20" s="34"/>
      <c r="J20" s="34"/>
      <c r="K20" s="34"/>
      <c r="L20" s="34"/>
    </row>
    <row r="21" spans="1:12">
      <c r="A21" s="28"/>
      <c r="B21" s="26"/>
      <c r="C21" s="25"/>
      <c r="E21" s="10"/>
    </row>
    <row r="22" spans="1:12">
      <c r="A22" s="28"/>
      <c r="B22" s="26"/>
      <c r="C22" s="25"/>
      <c r="E22" s="10"/>
    </row>
    <row r="23" spans="1:12">
      <c r="A23" s="28"/>
      <c r="B23" s="26"/>
      <c r="C23" s="25"/>
      <c r="E23" s="10"/>
    </row>
    <row r="24" spans="1:12">
      <c r="A24" s="29"/>
      <c r="B24" s="31"/>
      <c r="C24" s="30"/>
      <c r="E24" s="10"/>
    </row>
    <row r="25" spans="1:12">
      <c r="A25" s="29"/>
      <c r="B25" s="31"/>
      <c r="C25" s="30"/>
      <c r="E25" s="10"/>
    </row>
    <row r="26" spans="1:12"/>
  </sheetData>
  <phoneticPr fontId="7" type="noConversion"/>
  <hyperlinks>
    <hyperlink ref="D8" r:id="rId1" xr:uid="{A3B77F6B-4DE1-4D7F-A645-063C808B7738}"/>
    <hyperlink ref="D9" r:id="rId2" xr:uid="{96F78320-256D-4ABF-922B-6F22DB18F80C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3F0E-EA0C-49BD-86BA-A6DAA13E17AA}">
  <sheetPr codeName="Planilha2"/>
  <dimension ref="A1:AB30"/>
  <sheetViews>
    <sheetView showGridLines="0" zoomScale="90" zoomScaleNormal="90" workbookViewId="0"/>
  </sheetViews>
  <sheetFormatPr defaultColWidth="8.7265625" defaultRowHeight="14.5"/>
  <cols>
    <col min="1" max="1" width="2.26953125" style="3" customWidth="1"/>
    <col min="2" max="2" width="9.81640625" style="3" customWidth="1"/>
    <col min="3" max="3" width="36.7265625" style="3" customWidth="1"/>
    <col min="4" max="4" width="6.54296875" style="3" customWidth="1"/>
    <col min="5" max="5" width="15.453125" style="3" customWidth="1"/>
    <col min="6" max="6" width="21.26953125" style="3" customWidth="1"/>
    <col min="7" max="7" width="5.81640625" style="3" bestFit="1" customWidth="1"/>
    <col min="8" max="8" width="10.453125" style="3" customWidth="1"/>
    <col min="9" max="9" width="13" style="3" customWidth="1"/>
    <col min="10" max="10" width="4.81640625" style="3" customWidth="1"/>
    <col min="11" max="11" width="10.453125" style="3" customWidth="1"/>
    <col min="12" max="12" width="13" style="3" customWidth="1"/>
    <col min="13" max="13" width="10.1796875" style="3" bestFit="1" customWidth="1"/>
    <col min="14" max="15" width="8.7265625" style="3"/>
    <col min="16" max="16" width="16.26953125" style="3" bestFit="1" customWidth="1"/>
    <col min="17" max="18" width="10.81640625" style="3" bestFit="1" customWidth="1"/>
    <col min="19" max="20" width="10.453125" style="3" bestFit="1" customWidth="1"/>
    <col min="21" max="21" width="14" style="3" bestFit="1" customWidth="1"/>
    <col min="22" max="22" width="11.54296875" style="78" bestFit="1" customWidth="1"/>
    <col min="23" max="23" width="10.1796875" style="78" bestFit="1" customWidth="1"/>
    <col min="24" max="24" width="14.26953125" style="3" bestFit="1" customWidth="1"/>
    <col min="25" max="16384" width="8.7265625" style="3"/>
  </cols>
  <sheetData>
    <row r="1" spans="1:28" ht="64.5" customHeight="1" thickBo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P1" s="21" t="s">
        <v>5</v>
      </c>
      <c r="Q1" s="22" t="s">
        <v>1</v>
      </c>
      <c r="R1" s="22" t="s">
        <v>6</v>
      </c>
      <c r="S1" s="75" t="s">
        <v>11</v>
      </c>
      <c r="T1" s="22" t="s">
        <v>83</v>
      </c>
      <c r="U1" s="22" t="s">
        <v>23</v>
      </c>
      <c r="V1" s="75" t="s">
        <v>7</v>
      </c>
      <c r="W1" s="75" t="s">
        <v>76</v>
      </c>
      <c r="X1" s="22" t="s">
        <v>9</v>
      </c>
      <c r="Y1" s="22" t="s">
        <v>19</v>
      </c>
      <c r="Z1" s="22" t="s">
        <v>20</v>
      </c>
      <c r="AA1" s="76" t="s">
        <v>21</v>
      </c>
      <c r="AB1" s="76" t="s">
        <v>22</v>
      </c>
    </row>
    <row r="2" spans="1:28" ht="20.149999999999999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P2" s="79" t="str">
        <f t="shared" ref="P2:P7" si="0">IF(G7&lt;&gt;"",$C$6,"")</f>
        <v>Beatriz Leite Júnior</v>
      </c>
      <c r="Q2" s="79">
        <f>IF(G7&lt;&gt;"",$C$8,"")</f>
        <v>13481923178</v>
      </c>
      <c r="R2" s="79" t="str">
        <f>IF(G7&lt;&gt;"",$F$6,"")</f>
        <v>JARDIM</v>
      </c>
      <c r="S2" s="80">
        <f>IF(G7&lt;&gt;"",$F$7,"")</f>
        <v>45387</v>
      </c>
      <c r="T2" s="80">
        <f>IF(G7&lt;&gt;"",H7,"")</f>
        <v>45417</v>
      </c>
      <c r="U2" s="81">
        <f>IF(G7&lt;&gt;"",$F$9,"")</f>
        <v>2856</v>
      </c>
      <c r="V2" s="82">
        <f>IF(G7&lt;&gt;"",$F$11,"")</f>
        <v>8</v>
      </c>
      <c r="W2" s="82">
        <f>IF(G7&lt;&gt;"",G7,"")</f>
        <v>1</v>
      </c>
      <c r="X2" s="81">
        <f>IF(G7&lt;&gt;"",$F$12,"")</f>
        <v>357</v>
      </c>
      <c r="Y2" s="77">
        <f>IF(G7&lt;&gt;"",MONTH(S2),"")</f>
        <v>4</v>
      </c>
      <c r="Z2" s="77">
        <f>IF(G7&lt;&gt;"",YEAR(S2),"")</f>
        <v>2024</v>
      </c>
      <c r="AA2" s="77">
        <f>IF(G7&lt;&gt;"",MONTH(T2),"")</f>
        <v>5</v>
      </c>
      <c r="AB2" s="77">
        <f>IF(G7&lt;&gt;"",YEAR(T2),"")</f>
        <v>2024</v>
      </c>
    </row>
    <row r="3" spans="1:28" ht="20.149999999999999" customHeight="1" thickBot="1">
      <c r="A3" s="2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2"/>
      <c r="P3" s="79" t="str">
        <f t="shared" si="0"/>
        <v>Beatriz Leite Júnior</v>
      </c>
      <c r="Q3" s="79">
        <f t="shared" ref="Q3:Q7" si="1">IF(G8&lt;&gt;"",$C$8,"")</f>
        <v>13481923178</v>
      </c>
      <c r="R3" s="79" t="str">
        <f t="shared" ref="R3:R7" si="2">IF(G8&lt;&gt;"",$F$6,"")</f>
        <v>JARDIM</v>
      </c>
      <c r="S3" s="80">
        <f t="shared" ref="S3:S7" si="3">IF(G8&lt;&gt;"",$F$7,"")</f>
        <v>45387</v>
      </c>
      <c r="T3" s="80">
        <f t="shared" ref="T3:T7" si="4">IF(G8&lt;&gt;"",H8,"")</f>
        <v>45448</v>
      </c>
      <c r="U3" s="81">
        <f t="shared" ref="U3:U7" si="5">IF(G8&lt;&gt;"",$F$9,"")</f>
        <v>2856</v>
      </c>
      <c r="V3" s="82">
        <f t="shared" ref="V3:V7" si="6">IF(G8&lt;&gt;"",$F$11,"")</f>
        <v>8</v>
      </c>
      <c r="W3" s="82">
        <f t="shared" ref="W3:W7" si="7">IF(G8&lt;&gt;"",G8,"")</f>
        <v>2</v>
      </c>
      <c r="X3" s="81">
        <f t="shared" ref="X3:X7" si="8">IF(G8&lt;&gt;"",$F$12,"")</f>
        <v>357</v>
      </c>
      <c r="Y3" s="77">
        <f t="shared" ref="Y3:Y7" si="9">IF(G8&lt;&gt;"",MONTH(S3),"")</f>
        <v>4</v>
      </c>
      <c r="Z3" s="77">
        <f t="shared" ref="Z3:Z7" si="10">IF(G8&lt;&gt;"",YEAR(S3),"")</f>
        <v>2024</v>
      </c>
      <c r="AA3" s="77">
        <f t="shared" ref="AA3:AA7" si="11">IF(G8&lt;&gt;"",MONTH(T3),"")</f>
        <v>6</v>
      </c>
      <c r="AB3" s="77">
        <f t="shared" ref="AB3:AB7" si="12">IF(G8&lt;&gt;"",YEAR(T3),"")</f>
        <v>2024</v>
      </c>
    </row>
    <row r="4" spans="1:28" ht="20.149999999999999" customHeight="1" thickBot="1">
      <c r="A4" s="2"/>
      <c r="B4" s="5" t="s">
        <v>4</v>
      </c>
      <c r="C4" s="70" t="s">
        <v>105</v>
      </c>
      <c r="D4" s="4"/>
      <c r="E4" s="4"/>
      <c r="F4" s="6" t="s">
        <v>82</v>
      </c>
      <c r="G4" s="72" t="s">
        <v>69</v>
      </c>
      <c r="H4" s="73"/>
      <c r="I4" s="74"/>
      <c r="J4" s="142" t="s">
        <v>25</v>
      </c>
      <c r="K4" s="142"/>
      <c r="L4" s="60">
        <f>VLOOKUP(G4,Tabela134[],6,'DADOS FUNCIONÁRIOS'!L270)</f>
        <v>0.55000000000000004</v>
      </c>
      <c r="M4" s="4"/>
      <c r="N4" s="2"/>
      <c r="P4" s="79" t="str">
        <f t="shared" si="0"/>
        <v>Beatriz Leite Júnior</v>
      </c>
      <c r="Q4" s="79">
        <f t="shared" si="1"/>
        <v>13481923178</v>
      </c>
      <c r="R4" s="79" t="str">
        <f t="shared" si="2"/>
        <v>JARDIM</v>
      </c>
      <c r="S4" s="80">
        <f t="shared" si="3"/>
        <v>45387</v>
      </c>
      <c r="T4" s="80">
        <f t="shared" si="4"/>
        <v>45478</v>
      </c>
      <c r="U4" s="81">
        <f t="shared" si="5"/>
        <v>2856</v>
      </c>
      <c r="V4" s="82">
        <f t="shared" si="6"/>
        <v>8</v>
      </c>
      <c r="W4" s="82">
        <f t="shared" si="7"/>
        <v>3</v>
      </c>
      <c r="X4" s="81">
        <f t="shared" si="8"/>
        <v>357</v>
      </c>
      <c r="Y4" s="77">
        <f t="shared" si="9"/>
        <v>4</v>
      </c>
      <c r="Z4" s="77">
        <f t="shared" si="10"/>
        <v>2024</v>
      </c>
      <c r="AA4" s="77">
        <f t="shared" si="11"/>
        <v>7</v>
      </c>
      <c r="AB4" s="77">
        <f t="shared" si="12"/>
        <v>2024</v>
      </c>
    </row>
    <row r="5" spans="1:28" ht="20.149999999999999" customHeight="1" thickBot="1">
      <c r="A5" s="2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2"/>
      <c r="P5" s="79" t="str">
        <f t="shared" si="0"/>
        <v>Beatriz Leite Júnior</v>
      </c>
      <c r="Q5" s="79">
        <f t="shared" si="1"/>
        <v>13481923178</v>
      </c>
      <c r="R5" s="79" t="str">
        <f t="shared" si="2"/>
        <v>JARDIM</v>
      </c>
      <c r="S5" s="80">
        <f t="shared" si="3"/>
        <v>45387</v>
      </c>
      <c r="T5" s="80">
        <f t="shared" si="4"/>
        <v>45509</v>
      </c>
      <c r="U5" s="81">
        <f t="shared" si="5"/>
        <v>2856</v>
      </c>
      <c r="V5" s="82">
        <f t="shared" si="6"/>
        <v>8</v>
      </c>
      <c r="W5" s="82">
        <f t="shared" si="7"/>
        <v>4</v>
      </c>
      <c r="X5" s="81">
        <f t="shared" si="8"/>
        <v>357</v>
      </c>
      <c r="Y5" s="77">
        <f t="shared" si="9"/>
        <v>4</v>
      </c>
      <c r="Z5" s="77">
        <f t="shared" si="10"/>
        <v>2024</v>
      </c>
      <c r="AA5" s="77">
        <f t="shared" si="11"/>
        <v>8</v>
      </c>
      <c r="AB5" s="77">
        <f t="shared" si="12"/>
        <v>2024</v>
      </c>
    </row>
    <row r="6" spans="1:28" ht="20.149999999999999" customHeight="1" thickBot="1">
      <c r="A6" s="2"/>
      <c r="B6" s="5" t="s">
        <v>0</v>
      </c>
      <c r="C6" s="68" t="str">
        <f>IFERROR(VLOOKUP("*"&amp;C4&amp;"*",'DADOS CLIENTES'!A:D,1,0),"ERRO")</f>
        <v>Beatriz Leite Júnior</v>
      </c>
      <c r="D6" s="4"/>
      <c r="E6" s="6" t="s">
        <v>6</v>
      </c>
      <c r="F6" s="61" t="s">
        <v>99</v>
      </c>
      <c r="G6" s="140" t="s">
        <v>8</v>
      </c>
      <c r="H6" s="140"/>
      <c r="I6" s="140"/>
      <c r="J6" s="140"/>
      <c r="K6" s="140"/>
      <c r="L6" s="141"/>
      <c r="M6" s="4"/>
      <c r="N6" s="2"/>
      <c r="P6" s="79" t="str">
        <f t="shared" si="0"/>
        <v>Beatriz Leite Júnior</v>
      </c>
      <c r="Q6" s="79">
        <f t="shared" si="1"/>
        <v>13481923178</v>
      </c>
      <c r="R6" s="79" t="str">
        <f t="shared" si="2"/>
        <v>JARDIM</v>
      </c>
      <c r="S6" s="80">
        <f t="shared" si="3"/>
        <v>45387</v>
      </c>
      <c r="T6" s="80">
        <f t="shared" si="4"/>
        <v>45540</v>
      </c>
      <c r="U6" s="81">
        <f t="shared" si="5"/>
        <v>2856</v>
      </c>
      <c r="V6" s="82">
        <f t="shared" si="6"/>
        <v>8</v>
      </c>
      <c r="W6" s="82">
        <f t="shared" si="7"/>
        <v>5</v>
      </c>
      <c r="X6" s="81">
        <f t="shared" si="8"/>
        <v>357</v>
      </c>
      <c r="Y6" s="77">
        <f t="shared" si="9"/>
        <v>4</v>
      </c>
      <c r="Z6" s="77">
        <f t="shared" si="10"/>
        <v>2024</v>
      </c>
      <c r="AA6" s="77">
        <f t="shared" si="11"/>
        <v>9</v>
      </c>
      <c r="AB6" s="77">
        <f t="shared" si="12"/>
        <v>2024</v>
      </c>
    </row>
    <row r="7" spans="1:28" ht="20.149999999999999" customHeight="1" thickBot="1">
      <c r="A7" s="2"/>
      <c r="B7" s="5"/>
      <c r="C7" s="4"/>
      <c r="D7" s="4"/>
      <c r="E7" s="6" t="s">
        <v>17</v>
      </c>
      <c r="F7" s="62">
        <v>45387</v>
      </c>
      <c r="G7" s="97">
        <f>IF(F11&gt;0,1,"")</f>
        <v>1</v>
      </c>
      <c r="H7" s="17">
        <f>IF(F11&lt;&gt;"",EDATE(F7,1),"")</f>
        <v>45417</v>
      </c>
      <c r="I7" s="11">
        <f t="shared" ref="I7:I12" si="13">IF($F$11&gt;=G7,$F$12,"")</f>
        <v>357</v>
      </c>
      <c r="J7" s="97">
        <f>IF($F$11&gt;G12,G12+1,"")</f>
        <v>7</v>
      </c>
      <c r="K7" s="17">
        <f>IF(L7&lt;&gt;"",EDATE(H12,1),"")</f>
        <v>45601</v>
      </c>
      <c r="L7" s="14">
        <f t="shared" ref="L7:L12" si="14">IF($F$11&gt;=J7,$F$12,"")</f>
        <v>357</v>
      </c>
      <c r="M7" s="4"/>
      <c r="N7" s="2"/>
      <c r="P7" s="79" t="str">
        <f t="shared" si="0"/>
        <v>Beatriz Leite Júnior</v>
      </c>
      <c r="Q7" s="79">
        <f t="shared" si="1"/>
        <v>13481923178</v>
      </c>
      <c r="R7" s="79" t="str">
        <f t="shared" si="2"/>
        <v>JARDIM</v>
      </c>
      <c r="S7" s="80">
        <f t="shared" si="3"/>
        <v>45387</v>
      </c>
      <c r="T7" s="80">
        <f t="shared" si="4"/>
        <v>45570</v>
      </c>
      <c r="U7" s="81">
        <f t="shared" si="5"/>
        <v>2856</v>
      </c>
      <c r="V7" s="82">
        <f t="shared" si="6"/>
        <v>8</v>
      </c>
      <c r="W7" s="82">
        <f t="shared" si="7"/>
        <v>6</v>
      </c>
      <c r="X7" s="81">
        <f t="shared" si="8"/>
        <v>357</v>
      </c>
      <c r="Y7" s="77">
        <f t="shared" si="9"/>
        <v>4</v>
      </c>
      <c r="Z7" s="77">
        <f t="shared" si="10"/>
        <v>2024</v>
      </c>
      <c r="AA7" s="77">
        <f t="shared" si="11"/>
        <v>10</v>
      </c>
      <c r="AB7" s="77">
        <f t="shared" si="12"/>
        <v>2024</v>
      </c>
    </row>
    <row r="8" spans="1:28" ht="20.149999999999999" customHeight="1" thickBot="1">
      <c r="A8" s="2"/>
      <c r="B8" s="5" t="s">
        <v>1</v>
      </c>
      <c r="C8" s="71">
        <f>IFERROR(VLOOKUP("*"&amp;C4&amp;"*",'DADOS CLIENTES'!A:Z,2,0),"ERRO")</f>
        <v>13481923178</v>
      </c>
      <c r="D8" s="4"/>
      <c r="E8" s="6" t="s">
        <v>73</v>
      </c>
      <c r="F8" s="63" t="str">
        <f>G4</f>
        <v>Menina das Flores</v>
      </c>
      <c r="G8" s="97">
        <f>IF($F$11&gt;G7,G7+1,"")</f>
        <v>2</v>
      </c>
      <c r="H8" s="18">
        <f>IF(I8&lt;&gt;"",EDATE(H7,1),"")</f>
        <v>45448</v>
      </c>
      <c r="I8" s="12">
        <f t="shared" si="13"/>
        <v>357</v>
      </c>
      <c r="J8" s="97">
        <f>IF($F$11&gt;J7,J7+1,"")</f>
        <v>8</v>
      </c>
      <c r="K8" s="18">
        <f>IF(L8&lt;&gt;"",EDATE(K7,1),"")</f>
        <v>45631</v>
      </c>
      <c r="L8" s="15">
        <f t="shared" si="14"/>
        <v>357</v>
      </c>
      <c r="M8" s="4"/>
      <c r="N8" s="2"/>
      <c r="P8" s="79" t="str">
        <f t="shared" ref="P8:P13" si="15">IF(J7&lt;&gt;"",$C$6,"")</f>
        <v>Beatriz Leite Júnior</v>
      </c>
      <c r="Q8" s="79">
        <f>IF(J7&lt;&gt;"",$C$8,"")</f>
        <v>13481923178</v>
      </c>
      <c r="R8" s="79" t="str">
        <f>IF(J7&lt;&gt;"",$F$6,"")</f>
        <v>JARDIM</v>
      </c>
      <c r="S8" s="80">
        <f>IF(J7&lt;&gt;"",$F$7,"")</f>
        <v>45387</v>
      </c>
      <c r="T8" s="80">
        <f>IF(J7&lt;&gt;"",K7,"")</f>
        <v>45601</v>
      </c>
      <c r="U8" s="81">
        <f>IF(J7&lt;&gt;"",$F$9,"")</f>
        <v>2856</v>
      </c>
      <c r="V8" s="82">
        <f>IF(J7&lt;&gt;"",$F$11,"")</f>
        <v>8</v>
      </c>
      <c r="W8" s="82">
        <f>IF(J7&lt;&gt;"",J7,"")</f>
        <v>7</v>
      </c>
      <c r="X8" s="81">
        <f>IF(J7&lt;&gt;"",$F$12,"")</f>
        <v>357</v>
      </c>
      <c r="Y8" s="77">
        <f>IF(J7&lt;&gt;"",MONTH(S8),"")</f>
        <v>4</v>
      </c>
      <c r="Z8" s="77">
        <f>IF(J7&lt;&gt;"",YEAR(S8),"")</f>
        <v>2024</v>
      </c>
      <c r="AA8" s="77">
        <f>IF(J7&lt;&gt;"",MONTH(T8),"")</f>
        <v>11</v>
      </c>
      <c r="AB8" s="77">
        <f>IF(J7&lt;&gt;"",YEAR(T8),"")</f>
        <v>2024</v>
      </c>
    </row>
    <row r="9" spans="1:28" ht="20.149999999999999" customHeight="1" thickBot="1">
      <c r="A9" s="2"/>
      <c r="B9" s="5"/>
      <c r="C9" s="4"/>
      <c r="D9" s="4"/>
      <c r="E9" s="6" t="s">
        <v>75</v>
      </c>
      <c r="F9" s="64">
        <v>2856</v>
      </c>
      <c r="G9" s="97">
        <f t="shared" ref="G9:G12" si="16">IF($F$11&gt;G8,G8+1,"")</f>
        <v>3</v>
      </c>
      <c r="H9" s="18">
        <f t="shared" ref="H9:H12" si="17">IF(I9&lt;&gt;"",EDATE(H8,1),"")</f>
        <v>45478</v>
      </c>
      <c r="I9" s="12">
        <f t="shared" si="13"/>
        <v>357</v>
      </c>
      <c r="J9" s="97" t="str">
        <f t="shared" ref="J9:J12" si="18">IF($F$11&gt;J8,J8+1,"")</f>
        <v/>
      </c>
      <c r="K9" s="18" t="str">
        <f t="shared" ref="K9:K12" si="19">IF(L9&lt;&gt;"",EDATE(K8,1),"")</f>
        <v/>
      </c>
      <c r="L9" s="15" t="str">
        <f t="shared" si="14"/>
        <v/>
      </c>
      <c r="M9" s="4"/>
      <c r="N9" s="2"/>
      <c r="P9" s="79" t="str">
        <f t="shared" si="15"/>
        <v>Beatriz Leite Júnior</v>
      </c>
      <c r="Q9" s="79">
        <f t="shared" ref="Q9:Q13" si="20">IF(J8&lt;&gt;"",$C$8,"")</f>
        <v>13481923178</v>
      </c>
      <c r="R9" s="79" t="str">
        <f t="shared" ref="R9:R13" si="21">IF(J8&lt;&gt;"",$F$6,"")</f>
        <v>JARDIM</v>
      </c>
      <c r="S9" s="80">
        <f t="shared" ref="S9:S13" si="22">IF(J8&lt;&gt;"",$F$7,"")</f>
        <v>45387</v>
      </c>
      <c r="T9" s="80">
        <f t="shared" ref="T9:T13" si="23">IF(J8&lt;&gt;"",K8,"")</f>
        <v>45631</v>
      </c>
      <c r="U9" s="81">
        <f t="shared" ref="U9:U13" si="24">IF(J8&lt;&gt;"",$F$9,"")</f>
        <v>2856</v>
      </c>
      <c r="V9" s="82">
        <f t="shared" ref="V9:V13" si="25">IF(J8&lt;&gt;"",$F$11,"")</f>
        <v>8</v>
      </c>
      <c r="W9" s="82">
        <f t="shared" ref="W9:W13" si="26">IF(J8&lt;&gt;"",J8,"")</f>
        <v>8</v>
      </c>
      <c r="X9" s="81">
        <f t="shared" ref="X9:X13" si="27">IF(J8&lt;&gt;"",$F$12,"")</f>
        <v>357</v>
      </c>
      <c r="Y9" s="77">
        <f t="shared" ref="Y9:Y13" si="28">IF(J8&lt;&gt;"",MONTH(S9),"")</f>
        <v>4</v>
      </c>
      <c r="Z9" s="77">
        <f t="shared" ref="Z9:Z13" si="29">IF(J8&lt;&gt;"",YEAR(S9),"")</f>
        <v>2024</v>
      </c>
      <c r="AA9" s="77">
        <f t="shared" ref="AA9:AA13" si="30">IF(J8&lt;&gt;"",MONTH(T9),"")</f>
        <v>12</v>
      </c>
      <c r="AB9" s="77">
        <f t="shared" ref="AB9:AB13" si="31">IF(J8&lt;&gt;"",YEAR(T9),"")</f>
        <v>2024</v>
      </c>
    </row>
    <row r="10" spans="1:28" ht="20.149999999999999" customHeight="1" thickBot="1">
      <c r="A10" s="2"/>
      <c r="B10" s="5" t="s">
        <v>2</v>
      </c>
      <c r="C10" s="68" t="str">
        <f>IFERROR(VLOOKUP("*"&amp;C4&amp;"*",'DADOS CLIENTES'!A:D,3,0),"ERRO")</f>
        <v>Administrativo</v>
      </c>
      <c r="D10" s="4"/>
      <c r="E10" s="6" t="s">
        <v>74</v>
      </c>
      <c r="F10" s="65">
        <f>F9*L4</f>
        <v>1570.8000000000002</v>
      </c>
      <c r="G10" s="97">
        <f t="shared" si="16"/>
        <v>4</v>
      </c>
      <c r="H10" s="18">
        <f t="shared" si="17"/>
        <v>45509</v>
      </c>
      <c r="I10" s="12">
        <f t="shared" si="13"/>
        <v>357</v>
      </c>
      <c r="J10" s="97" t="str">
        <f t="shared" si="18"/>
        <v/>
      </c>
      <c r="K10" s="18" t="str">
        <f t="shared" si="19"/>
        <v/>
      </c>
      <c r="L10" s="15" t="str">
        <f t="shared" si="14"/>
        <v/>
      </c>
      <c r="M10" s="4"/>
      <c r="N10" s="2"/>
      <c r="P10" s="79" t="str">
        <f t="shared" si="15"/>
        <v/>
      </c>
      <c r="Q10" s="79" t="str">
        <f t="shared" si="20"/>
        <v/>
      </c>
      <c r="R10" s="79" t="str">
        <f t="shared" si="21"/>
        <v/>
      </c>
      <c r="S10" s="80" t="str">
        <f t="shared" si="22"/>
        <v/>
      </c>
      <c r="T10" s="80" t="str">
        <f t="shared" si="23"/>
        <v/>
      </c>
      <c r="U10" s="81" t="str">
        <f t="shared" si="24"/>
        <v/>
      </c>
      <c r="V10" s="82" t="str">
        <f t="shared" si="25"/>
        <v/>
      </c>
      <c r="W10" s="82" t="str">
        <f t="shared" si="26"/>
        <v/>
      </c>
      <c r="X10" s="81" t="str">
        <f t="shared" si="27"/>
        <v/>
      </c>
      <c r="Y10" s="77" t="str">
        <f t="shared" si="28"/>
        <v/>
      </c>
      <c r="Z10" s="77" t="str">
        <f t="shared" si="29"/>
        <v/>
      </c>
      <c r="AA10" s="77" t="str">
        <f t="shared" si="30"/>
        <v/>
      </c>
      <c r="AB10" s="77" t="str">
        <f t="shared" si="31"/>
        <v/>
      </c>
    </row>
    <row r="11" spans="1:28" ht="20.149999999999999" customHeight="1" thickBot="1">
      <c r="A11" s="2"/>
      <c r="B11" s="5"/>
      <c r="C11" s="4"/>
      <c r="D11" s="6"/>
      <c r="E11" s="6" t="s">
        <v>18</v>
      </c>
      <c r="F11" s="66">
        <v>8</v>
      </c>
      <c r="G11" s="97">
        <f t="shared" si="16"/>
        <v>5</v>
      </c>
      <c r="H11" s="18">
        <f t="shared" si="17"/>
        <v>45540</v>
      </c>
      <c r="I11" s="12">
        <f t="shared" si="13"/>
        <v>357</v>
      </c>
      <c r="J11" s="97" t="str">
        <f t="shared" si="18"/>
        <v/>
      </c>
      <c r="K11" s="18" t="str">
        <f t="shared" si="19"/>
        <v/>
      </c>
      <c r="L11" s="15" t="str">
        <f t="shared" si="14"/>
        <v/>
      </c>
      <c r="M11" s="4"/>
      <c r="N11" s="2"/>
      <c r="P11" s="79" t="str">
        <f t="shared" si="15"/>
        <v/>
      </c>
      <c r="Q11" s="79" t="str">
        <f t="shared" si="20"/>
        <v/>
      </c>
      <c r="R11" s="79" t="str">
        <f t="shared" si="21"/>
        <v/>
      </c>
      <c r="S11" s="80" t="str">
        <f t="shared" si="22"/>
        <v/>
      </c>
      <c r="T11" s="80" t="str">
        <f t="shared" si="23"/>
        <v/>
      </c>
      <c r="U11" s="81" t="str">
        <f t="shared" si="24"/>
        <v/>
      </c>
      <c r="V11" s="82" t="str">
        <f t="shared" si="25"/>
        <v/>
      </c>
      <c r="W11" s="82" t="str">
        <f t="shared" si="26"/>
        <v/>
      </c>
      <c r="X11" s="81" t="str">
        <f t="shared" si="27"/>
        <v/>
      </c>
      <c r="Y11" s="77" t="str">
        <f t="shared" si="28"/>
        <v/>
      </c>
      <c r="Z11" s="77" t="str">
        <f t="shared" si="29"/>
        <v/>
      </c>
      <c r="AA11" s="77" t="str">
        <f t="shared" si="30"/>
        <v/>
      </c>
      <c r="AB11" s="77" t="str">
        <f t="shared" si="31"/>
        <v/>
      </c>
    </row>
    <row r="12" spans="1:28" ht="20.149999999999999" customHeight="1" thickBot="1">
      <c r="A12" s="2"/>
      <c r="B12" s="5" t="s">
        <v>3</v>
      </c>
      <c r="C12" s="68" t="str">
        <f>IFERROR(VLOOKUP("*"&amp;C4&amp;"*",'DADOS CLIENTES'!A:D,4,0),"ERRO")</f>
        <v>Administrativo@minhaempresa.com</v>
      </c>
      <c r="D12" s="4"/>
      <c r="E12" s="6" t="s">
        <v>10</v>
      </c>
      <c r="F12" s="67">
        <f>IF(F11&gt;0,F9/F11,0)</f>
        <v>357</v>
      </c>
      <c r="G12" s="97">
        <f t="shared" si="16"/>
        <v>6</v>
      </c>
      <c r="H12" s="19">
        <f t="shared" si="17"/>
        <v>45570</v>
      </c>
      <c r="I12" s="13">
        <f t="shared" si="13"/>
        <v>357</v>
      </c>
      <c r="J12" s="97" t="str">
        <f t="shared" si="18"/>
        <v/>
      </c>
      <c r="K12" s="19" t="str">
        <f t="shared" si="19"/>
        <v/>
      </c>
      <c r="L12" s="16" t="str">
        <f t="shared" si="14"/>
        <v/>
      </c>
      <c r="M12" s="4"/>
      <c r="N12" s="2"/>
      <c r="P12" s="79" t="str">
        <f t="shared" si="15"/>
        <v/>
      </c>
      <c r="Q12" s="79" t="str">
        <f t="shared" si="20"/>
        <v/>
      </c>
      <c r="R12" s="79" t="str">
        <f t="shared" si="21"/>
        <v/>
      </c>
      <c r="S12" s="80" t="str">
        <f t="shared" si="22"/>
        <v/>
      </c>
      <c r="T12" s="80" t="str">
        <f t="shared" si="23"/>
        <v/>
      </c>
      <c r="U12" s="81" t="str">
        <f t="shared" si="24"/>
        <v/>
      </c>
      <c r="V12" s="82" t="str">
        <f t="shared" si="25"/>
        <v/>
      </c>
      <c r="W12" s="82" t="str">
        <f t="shared" si="26"/>
        <v/>
      </c>
      <c r="X12" s="81" t="str">
        <f t="shared" si="27"/>
        <v/>
      </c>
      <c r="Y12" s="77" t="str">
        <f t="shared" si="28"/>
        <v/>
      </c>
      <c r="Z12" s="77" t="str">
        <f t="shared" si="29"/>
        <v/>
      </c>
      <c r="AA12" s="77" t="str">
        <f t="shared" si="30"/>
        <v/>
      </c>
      <c r="AB12" s="77" t="str">
        <f t="shared" si="31"/>
        <v/>
      </c>
    </row>
    <row r="13" spans="1:28" ht="15" thickBot="1">
      <c r="A13" s="2"/>
      <c r="B13" s="4"/>
      <c r="C13" s="4"/>
      <c r="D13" s="4"/>
      <c r="E13" s="6"/>
      <c r="F13" s="4"/>
      <c r="G13" s="4"/>
      <c r="H13" s="4"/>
      <c r="I13" s="4"/>
      <c r="J13" s="4"/>
      <c r="K13" s="4"/>
      <c r="L13" s="4"/>
      <c r="M13" s="4"/>
      <c r="N13" s="2"/>
      <c r="P13" s="79" t="str">
        <f t="shared" si="15"/>
        <v/>
      </c>
      <c r="Q13" s="79" t="str">
        <f t="shared" si="20"/>
        <v/>
      </c>
      <c r="R13" s="79" t="str">
        <f t="shared" si="21"/>
        <v/>
      </c>
      <c r="S13" s="80" t="str">
        <f t="shared" si="22"/>
        <v/>
      </c>
      <c r="T13" s="80" t="str">
        <f t="shared" si="23"/>
        <v/>
      </c>
      <c r="U13" s="81" t="str">
        <f t="shared" si="24"/>
        <v/>
      </c>
      <c r="V13" s="82" t="str">
        <f t="shared" si="25"/>
        <v/>
      </c>
      <c r="W13" s="82" t="str">
        <f t="shared" si="26"/>
        <v/>
      </c>
      <c r="X13" s="81" t="str">
        <f t="shared" si="27"/>
        <v/>
      </c>
      <c r="Y13" s="77" t="str">
        <f t="shared" si="28"/>
        <v/>
      </c>
      <c r="Z13" s="77" t="str">
        <f t="shared" si="29"/>
        <v/>
      </c>
      <c r="AA13" s="77" t="str">
        <f t="shared" si="30"/>
        <v/>
      </c>
      <c r="AB13" s="77" t="str">
        <f t="shared" si="31"/>
        <v/>
      </c>
    </row>
    <row r="14" spans="1:28" ht="15" thickBot="1">
      <c r="A14" s="2"/>
      <c r="B14" s="5" t="s">
        <v>14</v>
      </c>
      <c r="C14" s="69">
        <f>IFERROR(VLOOKUP("*"&amp;C4&amp;"*",'DADOS CLIENTES'!A:V,5,0),"ERRO")</f>
        <v>43575</v>
      </c>
      <c r="D14" s="4"/>
      <c r="E14" s="6"/>
      <c r="F14" s="4"/>
      <c r="G14" s="4"/>
      <c r="H14" s="4"/>
      <c r="I14" s="4"/>
      <c r="J14" s="4"/>
      <c r="K14" s="4"/>
      <c r="L14" s="4"/>
      <c r="M14" s="4"/>
      <c r="N14" s="2"/>
    </row>
    <row r="15" spans="1:28">
      <c r="A15" s="2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2"/>
    </row>
    <row r="16" spans="1:28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4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</sheetData>
  <mergeCells count="2">
    <mergeCell ref="G6:L6"/>
    <mergeCell ref="J4:K4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AD04AB9-AA17-4570-9047-8CB55817504A}">
          <x14:formula1>
            <xm:f>'DADOS FUNCIONÁRIOS'!$A$2:$A$25</xm:f>
          </x14:formula1>
          <xm:sqref>G4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BB6B-BD16-4B33-8CC1-8281D4967915}">
  <sheetPr codeName="Planilha3" filterMode="1"/>
  <dimension ref="A1:M198"/>
  <sheetViews>
    <sheetView workbookViewId="0"/>
  </sheetViews>
  <sheetFormatPr defaultRowHeight="14.5"/>
  <cols>
    <col min="1" max="1" width="19.54296875" bestFit="1" customWidth="1"/>
    <col min="2" max="2" width="15.1796875" bestFit="1" customWidth="1"/>
    <col min="3" max="3" width="15.54296875" bestFit="1" customWidth="1"/>
    <col min="4" max="4" width="13.54296875" style="10" customWidth="1"/>
    <col min="5" max="5" width="15.1796875" style="9" customWidth="1"/>
    <col min="6" max="6" width="23.7265625" style="89" bestFit="1" customWidth="1"/>
    <col min="7" max="7" width="12.54296875" style="78" bestFit="1" customWidth="1"/>
    <col min="8" max="8" width="13.54296875" style="23" bestFit="1" customWidth="1"/>
    <col min="9" max="9" width="17.7265625" style="89" bestFit="1" customWidth="1"/>
    <col min="10" max="10" width="15" bestFit="1" customWidth="1"/>
    <col min="11" max="11" width="15.54296875" bestFit="1" customWidth="1"/>
    <col min="12" max="12" width="16.81640625" bestFit="1" customWidth="1"/>
    <col min="13" max="13" width="17.453125" bestFit="1" customWidth="1"/>
  </cols>
  <sheetData>
    <row r="1" spans="1:13" ht="15" thickBot="1">
      <c r="A1" s="21" t="s">
        <v>5</v>
      </c>
      <c r="B1" s="22" t="s">
        <v>1</v>
      </c>
      <c r="C1" s="22" t="s">
        <v>6</v>
      </c>
      <c r="D1" s="85" t="s">
        <v>11</v>
      </c>
      <c r="E1" s="59" t="s">
        <v>83</v>
      </c>
      <c r="F1" s="87" t="s">
        <v>23</v>
      </c>
      <c r="G1" s="90" t="s">
        <v>7</v>
      </c>
      <c r="H1" s="75" t="s">
        <v>76</v>
      </c>
      <c r="I1" s="87" t="s">
        <v>9</v>
      </c>
      <c r="J1" s="22" t="s">
        <v>19</v>
      </c>
      <c r="K1" s="22" t="s">
        <v>20</v>
      </c>
      <c r="L1" s="76" t="s">
        <v>21</v>
      </c>
      <c r="M1" s="76" t="s">
        <v>22</v>
      </c>
    </row>
    <row r="2" spans="1:13">
      <c r="A2" s="24" t="s">
        <v>12</v>
      </c>
      <c r="B2" s="24">
        <v>202020202020</v>
      </c>
      <c r="C2" s="24" t="s">
        <v>98</v>
      </c>
      <c r="D2" s="86">
        <v>45443</v>
      </c>
      <c r="E2" s="84">
        <v>45473</v>
      </c>
      <c r="F2" s="88">
        <v>564</v>
      </c>
      <c r="G2" s="91">
        <v>8</v>
      </c>
      <c r="H2" s="83">
        <v>1</v>
      </c>
      <c r="I2" s="88">
        <v>70.5</v>
      </c>
      <c r="J2" s="24">
        <v>5</v>
      </c>
      <c r="K2" s="24">
        <v>2024</v>
      </c>
      <c r="L2" s="24">
        <v>6</v>
      </c>
      <c r="M2" s="24">
        <v>2024</v>
      </c>
    </row>
    <row r="3" spans="1:13">
      <c r="A3" s="24" t="s">
        <v>12</v>
      </c>
      <c r="B3" s="24">
        <v>202020202020</v>
      </c>
      <c r="C3" s="24" t="s">
        <v>98</v>
      </c>
      <c r="D3" s="86">
        <v>45443</v>
      </c>
      <c r="E3" s="84">
        <v>45503</v>
      </c>
      <c r="F3" s="88">
        <v>564</v>
      </c>
      <c r="G3" s="91">
        <v>8</v>
      </c>
      <c r="H3" s="83">
        <v>2</v>
      </c>
      <c r="I3" s="88">
        <v>70.5</v>
      </c>
      <c r="J3" s="24">
        <v>5</v>
      </c>
      <c r="K3" s="24">
        <v>2024</v>
      </c>
      <c r="L3" s="24">
        <v>7</v>
      </c>
      <c r="M3" s="24">
        <v>2024</v>
      </c>
    </row>
    <row r="4" spans="1:13">
      <c r="A4" s="24" t="s">
        <v>12</v>
      </c>
      <c r="B4" s="24">
        <v>202020202020</v>
      </c>
      <c r="C4" s="24" t="s">
        <v>98</v>
      </c>
      <c r="D4" s="86">
        <v>45443</v>
      </c>
      <c r="E4" s="84">
        <v>45534</v>
      </c>
      <c r="F4" s="88">
        <v>564</v>
      </c>
      <c r="G4" s="91">
        <v>8</v>
      </c>
      <c r="H4" s="83">
        <v>3</v>
      </c>
      <c r="I4" s="88">
        <v>70.5</v>
      </c>
      <c r="J4" s="24">
        <v>5</v>
      </c>
      <c r="K4" s="24">
        <v>2024</v>
      </c>
      <c r="L4" s="24">
        <v>8</v>
      </c>
      <c r="M4" s="24">
        <v>2024</v>
      </c>
    </row>
    <row r="5" spans="1:13">
      <c r="A5" s="24" t="s">
        <v>12</v>
      </c>
      <c r="B5" s="24">
        <v>202020202020</v>
      </c>
      <c r="C5" s="24" t="s">
        <v>98</v>
      </c>
      <c r="D5" s="86">
        <v>45443</v>
      </c>
      <c r="E5" s="84">
        <v>45565</v>
      </c>
      <c r="F5" s="88">
        <v>564</v>
      </c>
      <c r="G5" s="91">
        <v>8</v>
      </c>
      <c r="H5" s="83">
        <v>4</v>
      </c>
      <c r="I5" s="88">
        <v>70.5</v>
      </c>
      <c r="J5" s="24">
        <v>5</v>
      </c>
      <c r="K5" s="24">
        <v>2024</v>
      </c>
      <c r="L5" s="24">
        <v>9</v>
      </c>
      <c r="M5" s="24">
        <v>2024</v>
      </c>
    </row>
    <row r="6" spans="1:13">
      <c r="A6" s="24" t="s">
        <v>12</v>
      </c>
      <c r="B6" s="24">
        <v>202020202020</v>
      </c>
      <c r="C6" s="24" t="s">
        <v>98</v>
      </c>
      <c r="D6" s="86">
        <v>45443</v>
      </c>
      <c r="E6" s="84">
        <v>45595</v>
      </c>
      <c r="F6" s="88">
        <v>564</v>
      </c>
      <c r="G6" s="91">
        <v>8</v>
      </c>
      <c r="H6" s="83">
        <v>5</v>
      </c>
      <c r="I6" s="88">
        <v>70.5</v>
      </c>
      <c r="J6" s="24">
        <v>5</v>
      </c>
      <c r="K6" s="24">
        <v>2024</v>
      </c>
      <c r="L6" s="24">
        <v>10</v>
      </c>
      <c r="M6" s="24">
        <v>2024</v>
      </c>
    </row>
    <row r="7" spans="1:13">
      <c r="A7" s="24" t="s">
        <v>12</v>
      </c>
      <c r="B7" s="24">
        <v>202020202020</v>
      </c>
      <c r="C7" s="24" t="s">
        <v>98</v>
      </c>
      <c r="D7" s="86">
        <v>45443</v>
      </c>
      <c r="E7" s="84">
        <v>45626</v>
      </c>
      <c r="F7" s="88">
        <v>564</v>
      </c>
      <c r="G7" s="91">
        <v>8</v>
      </c>
      <c r="H7" s="83">
        <v>6</v>
      </c>
      <c r="I7" s="88">
        <v>70.5</v>
      </c>
      <c r="J7" s="24">
        <v>5</v>
      </c>
      <c r="K7" s="24">
        <v>2024</v>
      </c>
      <c r="L7" s="24">
        <v>11</v>
      </c>
      <c r="M7" s="24">
        <v>2024</v>
      </c>
    </row>
    <row r="8" spans="1:13">
      <c r="A8" s="24" t="s">
        <v>12</v>
      </c>
      <c r="B8" s="24">
        <v>202020202020</v>
      </c>
      <c r="C8" s="24" t="s">
        <v>98</v>
      </c>
      <c r="D8" s="86">
        <v>45443</v>
      </c>
      <c r="E8" s="84">
        <v>45656</v>
      </c>
      <c r="F8" s="88">
        <v>564</v>
      </c>
      <c r="G8" s="91">
        <v>8</v>
      </c>
      <c r="H8" s="83">
        <v>7</v>
      </c>
      <c r="I8" s="88">
        <v>70.5</v>
      </c>
      <c r="J8" s="24">
        <v>5</v>
      </c>
      <c r="K8" s="24">
        <v>2024</v>
      </c>
      <c r="L8" s="24">
        <v>12</v>
      </c>
      <c r="M8" s="24">
        <v>2024</v>
      </c>
    </row>
    <row r="9" spans="1:13">
      <c r="A9" s="24" t="s">
        <v>12</v>
      </c>
      <c r="B9" s="24">
        <v>202020202020</v>
      </c>
      <c r="C9" s="24" t="s">
        <v>98</v>
      </c>
      <c r="D9" s="86">
        <v>45443</v>
      </c>
      <c r="E9" s="84">
        <v>45687</v>
      </c>
      <c r="F9" s="88">
        <v>564</v>
      </c>
      <c r="G9" s="91">
        <v>8</v>
      </c>
      <c r="H9" s="83">
        <v>8</v>
      </c>
      <c r="I9" s="88">
        <v>70.5</v>
      </c>
      <c r="J9" s="24">
        <v>5</v>
      </c>
      <c r="K9" s="24">
        <v>2024</v>
      </c>
      <c r="L9" s="24">
        <v>1</v>
      </c>
      <c r="M9" s="24">
        <v>2025</v>
      </c>
    </row>
    <row r="10" spans="1:13">
      <c r="A10" s="24" t="s">
        <v>12</v>
      </c>
      <c r="B10" s="24">
        <v>202020202020</v>
      </c>
      <c r="C10" s="24" t="s">
        <v>98</v>
      </c>
      <c r="D10" s="86">
        <v>45443</v>
      </c>
      <c r="E10" s="84">
        <v>45473</v>
      </c>
      <c r="F10" s="88">
        <v>564</v>
      </c>
      <c r="G10" s="91">
        <v>8</v>
      </c>
      <c r="H10" s="83">
        <v>1</v>
      </c>
      <c r="I10" s="88">
        <v>70.5</v>
      </c>
      <c r="J10" s="24">
        <v>5</v>
      </c>
      <c r="K10" s="24">
        <v>2024</v>
      </c>
      <c r="L10" s="24">
        <v>6</v>
      </c>
      <c r="M10" s="24">
        <v>2024</v>
      </c>
    </row>
    <row r="11" spans="1:13">
      <c r="A11" s="24" t="s">
        <v>12</v>
      </c>
      <c r="B11" s="24">
        <v>202020202020</v>
      </c>
      <c r="C11" s="24" t="s">
        <v>98</v>
      </c>
      <c r="D11" s="86">
        <v>45443</v>
      </c>
      <c r="E11" s="84">
        <v>45503</v>
      </c>
      <c r="F11" s="88">
        <v>564</v>
      </c>
      <c r="G11" s="91">
        <v>8</v>
      </c>
      <c r="H11" s="83">
        <v>2</v>
      </c>
      <c r="I11" s="88">
        <v>70.5</v>
      </c>
      <c r="J11" s="24">
        <v>5</v>
      </c>
      <c r="K11" s="24">
        <v>2024</v>
      </c>
      <c r="L11" s="24">
        <v>7</v>
      </c>
      <c r="M11" s="24">
        <v>2024</v>
      </c>
    </row>
    <row r="12" spans="1:13">
      <c r="A12" s="24" t="s">
        <v>12</v>
      </c>
      <c r="B12" s="24">
        <v>202020202020</v>
      </c>
      <c r="C12" s="24" t="s">
        <v>98</v>
      </c>
      <c r="D12" s="86">
        <v>45443</v>
      </c>
      <c r="E12" s="84">
        <v>45534</v>
      </c>
      <c r="F12" s="88">
        <v>564</v>
      </c>
      <c r="G12" s="91">
        <v>8</v>
      </c>
      <c r="H12" s="83">
        <v>3</v>
      </c>
      <c r="I12" s="88">
        <v>70.5</v>
      </c>
      <c r="J12" s="24">
        <v>5</v>
      </c>
      <c r="K12" s="24">
        <v>2024</v>
      </c>
      <c r="L12" s="24">
        <v>8</v>
      </c>
      <c r="M12" s="24">
        <v>2024</v>
      </c>
    </row>
    <row r="13" spans="1:13">
      <c r="A13" s="24" t="s">
        <v>12</v>
      </c>
      <c r="B13" s="24">
        <v>202020202020</v>
      </c>
      <c r="C13" s="24" t="s">
        <v>98</v>
      </c>
      <c r="D13" s="86">
        <v>45443</v>
      </c>
      <c r="E13" s="84">
        <v>45565</v>
      </c>
      <c r="F13" s="88">
        <v>564</v>
      </c>
      <c r="G13" s="91">
        <v>8</v>
      </c>
      <c r="H13" s="83">
        <v>4</v>
      </c>
      <c r="I13" s="88">
        <v>70.5</v>
      </c>
      <c r="J13" s="24">
        <v>5</v>
      </c>
      <c r="K13" s="24">
        <v>2024</v>
      </c>
      <c r="L13" s="24">
        <v>9</v>
      </c>
      <c r="M13" s="24">
        <v>2024</v>
      </c>
    </row>
    <row r="14" spans="1:13">
      <c r="A14" s="24" t="s">
        <v>12</v>
      </c>
      <c r="B14" s="24">
        <v>202020202020</v>
      </c>
      <c r="C14" s="24" t="s">
        <v>98</v>
      </c>
      <c r="D14" s="86">
        <v>45443</v>
      </c>
      <c r="E14" s="84">
        <v>45595</v>
      </c>
      <c r="F14" s="88">
        <v>564</v>
      </c>
      <c r="G14" s="91">
        <v>8</v>
      </c>
      <c r="H14" s="83">
        <v>5</v>
      </c>
      <c r="I14" s="88">
        <v>70.5</v>
      </c>
      <c r="J14" s="24">
        <v>5</v>
      </c>
      <c r="K14" s="24">
        <v>2024</v>
      </c>
      <c r="L14" s="24">
        <v>10</v>
      </c>
      <c r="M14" s="24">
        <v>2024</v>
      </c>
    </row>
    <row r="15" spans="1:13">
      <c r="A15" s="24" t="s">
        <v>12</v>
      </c>
      <c r="B15" s="24">
        <v>202020202020</v>
      </c>
      <c r="C15" s="24" t="s">
        <v>98</v>
      </c>
      <c r="D15" s="86">
        <v>45443</v>
      </c>
      <c r="E15" s="84">
        <v>45626</v>
      </c>
      <c r="F15" s="88">
        <v>564</v>
      </c>
      <c r="G15" s="91">
        <v>8</v>
      </c>
      <c r="H15" s="83">
        <v>6</v>
      </c>
      <c r="I15" s="88">
        <v>70.5</v>
      </c>
      <c r="J15" s="24">
        <v>5</v>
      </c>
      <c r="K15" s="24">
        <v>2024</v>
      </c>
      <c r="L15" s="24">
        <v>11</v>
      </c>
      <c r="M15" s="24">
        <v>2024</v>
      </c>
    </row>
    <row r="16" spans="1:13">
      <c r="A16" s="24" t="s">
        <v>12</v>
      </c>
      <c r="B16" s="24">
        <v>202020202020</v>
      </c>
      <c r="C16" s="24" t="s">
        <v>98</v>
      </c>
      <c r="D16" s="86">
        <v>45443</v>
      </c>
      <c r="E16" s="84">
        <v>45656</v>
      </c>
      <c r="F16" s="88">
        <v>564</v>
      </c>
      <c r="G16" s="91">
        <v>8</v>
      </c>
      <c r="H16" s="83">
        <v>7</v>
      </c>
      <c r="I16" s="88">
        <v>70.5</v>
      </c>
      <c r="J16" s="24">
        <v>5</v>
      </c>
      <c r="K16" s="24">
        <v>2024</v>
      </c>
      <c r="L16" s="24">
        <v>12</v>
      </c>
      <c r="M16" s="24">
        <v>2024</v>
      </c>
    </row>
    <row r="17" spans="1:13">
      <c r="A17" s="24" t="s">
        <v>12</v>
      </c>
      <c r="B17" s="24">
        <v>202020202020</v>
      </c>
      <c r="C17" s="24" t="s">
        <v>98</v>
      </c>
      <c r="D17" s="86">
        <v>45443</v>
      </c>
      <c r="E17" s="84">
        <v>45687</v>
      </c>
      <c r="F17" s="88">
        <v>564</v>
      </c>
      <c r="G17" s="91">
        <v>8</v>
      </c>
      <c r="H17" s="83">
        <v>8</v>
      </c>
      <c r="I17" s="88">
        <v>70.5</v>
      </c>
      <c r="J17" s="24">
        <v>5</v>
      </c>
      <c r="K17" s="24">
        <v>2024</v>
      </c>
      <c r="L17" s="24">
        <v>1</v>
      </c>
      <c r="M17" s="24">
        <v>2025</v>
      </c>
    </row>
    <row r="18" spans="1:13">
      <c r="A18" s="24" t="s">
        <v>13</v>
      </c>
      <c r="B18" s="24">
        <v>3030303030303</v>
      </c>
      <c r="C18" s="24" t="s">
        <v>85</v>
      </c>
      <c r="D18" s="86">
        <v>44606</v>
      </c>
      <c r="E18" s="84">
        <v>44634</v>
      </c>
      <c r="F18" s="88">
        <v>5621</v>
      </c>
      <c r="G18" s="91">
        <v>12</v>
      </c>
      <c r="H18" s="83">
        <v>1</v>
      </c>
      <c r="I18" s="88">
        <v>468.41666666666669</v>
      </c>
      <c r="J18" s="24">
        <v>2</v>
      </c>
      <c r="K18" s="24">
        <v>2022</v>
      </c>
      <c r="L18" s="24">
        <v>3</v>
      </c>
      <c r="M18" s="24">
        <v>2022</v>
      </c>
    </row>
    <row r="19" spans="1:13">
      <c r="A19" s="24" t="s">
        <v>13</v>
      </c>
      <c r="B19" s="24">
        <v>3030303030303</v>
      </c>
      <c r="C19" s="24" t="s">
        <v>85</v>
      </c>
      <c r="D19" s="86">
        <v>44606</v>
      </c>
      <c r="E19" s="84">
        <v>44665</v>
      </c>
      <c r="F19" s="88">
        <v>5621</v>
      </c>
      <c r="G19" s="91">
        <v>12</v>
      </c>
      <c r="H19" s="83">
        <v>2</v>
      </c>
      <c r="I19" s="88">
        <v>468.41666666666669</v>
      </c>
      <c r="J19" s="24">
        <v>2</v>
      </c>
      <c r="K19" s="24">
        <v>2022</v>
      </c>
      <c r="L19" s="24">
        <v>4</v>
      </c>
      <c r="M19" s="24">
        <v>2022</v>
      </c>
    </row>
    <row r="20" spans="1:13">
      <c r="A20" s="24" t="s">
        <v>13</v>
      </c>
      <c r="B20" s="24">
        <v>3030303030303</v>
      </c>
      <c r="C20" s="24" t="s">
        <v>85</v>
      </c>
      <c r="D20" s="86">
        <v>44606</v>
      </c>
      <c r="E20" s="84">
        <v>44695</v>
      </c>
      <c r="F20" s="88">
        <v>5621</v>
      </c>
      <c r="G20" s="91">
        <v>12</v>
      </c>
      <c r="H20" s="83">
        <v>3</v>
      </c>
      <c r="I20" s="88">
        <v>468.41666666666669</v>
      </c>
      <c r="J20" s="24">
        <v>2</v>
      </c>
      <c r="K20" s="24">
        <v>2022</v>
      </c>
      <c r="L20" s="24">
        <v>5</v>
      </c>
      <c r="M20" s="24">
        <v>2022</v>
      </c>
    </row>
    <row r="21" spans="1:13">
      <c r="A21" s="24" t="s">
        <v>13</v>
      </c>
      <c r="B21" s="24">
        <v>3030303030303</v>
      </c>
      <c r="C21" s="24" t="s">
        <v>85</v>
      </c>
      <c r="D21" s="86">
        <v>44606</v>
      </c>
      <c r="E21" s="84">
        <v>44726</v>
      </c>
      <c r="F21" s="88">
        <v>5621</v>
      </c>
      <c r="G21" s="91">
        <v>12</v>
      </c>
      <c r="H21" s="83">
        <v>4</v>
      </c>
      <c r="I21" s="88">
        <v>468.41666666666669</v>
      </c>
      <c r="J21" s="24">
        <v>2</v>
      </c>
      <c r="K21" s="24">
        <v>2022</v>
      </c>
      <c r="L21" s="24">
        <v>6</v>
      </c>
      <c r="M21" s="24">
        <v>2022</v>
      </c>
    </row>
    <row r="22" spans="1:13">
      <c r="A22" s="24" t="s">
        <v>13</v>
      </c>
      <c r="B22" s="24">
        <v>3030303030303</v>
      </c>
      <c r="C22" s="24" t="s">
        <v>85</v>
      </c>
      <c r="D22" s="86">
        <v>44606</v>
      </c>
      <c r="E22" s="84">
        <v>44756</v>
      </c>
      <c r="F22" s="88">
        <v>5621</v>
      </c>
      <c r="G22" s="91">
        <v>12</v>
      </c>
      <c r="H22" s="83">
        <v>5</v>
      </c>
      <c r="I22" s="88">
        <v>468.41666666666669</v>
      </c>
      <c r="J22" s="24">
        <v>2</v>
      </c>
      <c r="K22" s="24">
        <v>2022</v>
      </c>
      <c r="L22" s="24">
        <v>7</v>
      </c>
      <c r="M22" s="24">
        <v>2022</v>
      </c>
    </row>
    <row r="23" spans="1:13">
      <c r="A23" s="24" t="s">
        <v>13</v>
      </c>
      <c r="B23" s="24">
        <v>3030303030303</v>
      </c>
      <c r="C23" s="24" t="s">
        <v>85</v>
      </c>
      <c r="D23" s="86">
        <v>44606</v>
      </c>
      <c r="E23" s="84">
        <v>44787</v>
      </c>
      <c r="F23" s="88">
        <v>5621</v>
      </c>
      <c r="G23" s="91">
        <v>12</v>
      </c>
      <c r="H23" s="83">
        <v>6</v>
      </c>
      <c r="I23" s="88">
        <v>468.41666666666669</v>
      </c>
      <c r="J23" s="24">
        <v>2</v>
      </c>
      <c r="K23" s="24">
        <v>2022</v>
      </c>
      <c r="L23" s="24">
        <v>8</v>
      </c>
      <c r="M23" s="24">
        <v>2022</v>
      </c>
    </row>
    <row r="24" spans="1:13">
      <c r="A24" s="24" t="s">
        <v>13</v>
      </c>
      <c r="B24" s="24">
        <v>3030303030303</v>
      </c>
      <c r="C24" s="24" t="s">
        <v>85</v>
      </c>
      <c r="D24" s="86">
        <v>44606</v>
      </c>
      <c r="E24" s="84">
        <v>44818</v>
      </c>
      <c r="F24" s="88">
        <v>5621</v>
      </c>
      <c r="G24" s="91">
        <v>12</v>
      </c>
      <c r="H24" s="83">
        <v>7</v>
      </c>
      <c r="I24" s="88">
        <v>468.41666666666669</v>
      </c>
      <c r="J24" s="24">
        <v>2</v>
      </c>
      <c r="K24" s="24">
        <v>2022</v>
      </c>
      <c r="L24" s="24">
        <v>9</v>
      </c>
      <c r="M24" s="24">
        <v>2022</v>
      </c>
    </row>
    <row r="25" spans="1:13">
      <c r="A25" s="24" t="s">
        <v>13</v>
      </c>
      <c r="B25" s="24">
        <v>3030303030303</v>
      </c>
      <c r="C25" s="24" t="s">
        <v>85</v>
      </c>
      <c r="D25" s="86">
        <v>44606</v>
      </c>
      <c r="E25" s="84">
        <v>44848</v>
      </c>
      <c r="F25" s="88">
        <v>5621</v>
      </c>
      <c r="G25" s="91">
        <v>12</v>
      </c>
      <c r="H25" s="83">
        <v>8</v>
      </c>
      <c r="I25" s="88">
        <v>468.41666666666669</v>
      </c>
      <c r="J25" s="24">
        <v>2</v>
      </c>
      <c r="K25" s="24">
        <v>2022</v>
      </c>
      <c r="L25" s="24">
        <v>10</v>
      </c>
      <c r="M25" s="24">
        <v>2022</v>
      </c>
    </row>
    <row r="26" spans="1:13">
      <c r="A26" s="24" t="s">
        <v>13</v>
      </c>
      <c r="B26" s="24">
        <v>3030303030303</v>
      </c>
      <c r="C26" s="24" t="s">
        <v>85</v>
      </c>
      <c r="D26" s="86">
        <v>44606</v>
      </c>
      <c r="E26" s="84">
        <v>44879</v>
      </c>
      <c r="F26" s="88">
        <v>5621</v>
      </c>
      <c r="G26" s="91">
        <v>12</v>
      </c>
      <c r="H26" s="83">
        <v>9</v>
      </c>
      <c r="I26" s="88">
        <v>468.41666666666669</v>
      </c>
      <c r="J26" s="24">
        <v>2</v>
      </c>
      <c r="K26" s="24">
        <v>2022</v>
      </c>
      <c r="L26" s="24">
        <v>11</v>
      </c>
      <c r="M26" s="24">
        <v>2022</v>
      </c>
    </row>
    <row r="27" spans="1:13">
      <c r="A27" s="24" t="s">
        <v>13</v>
      </c>
      <c r="B27" s="24">
        <v>3030303030303</v>
      </c>
      <c r="C27" s="24" t="s">
        <v>85</v>
      </c>
      <c r="D27" s="86">
        <v>44606</v>
      </c>
      <c r="E27" s="84">
        <v>44909</v>
      </c>
      <c r="F27" s="88">
        <v>5621</v>
      </c>
      <c r="G27" s="91">
        <v>12</v>
      </c>
      <c r="H27" s="83">
        <v>10</v>
      </c>
      <c r="I27" s="88">
        <v>468.41666666666669</v>
      </c>
      <c r="J27" s="24">
        <v>2</v>
      </c>
      <c r="K27" s="24">
        <v>2022</v>
      </c>
      <c r="L27" s="24">
        <v>12</v>
      </c>
      <c r="M27" s="24">
        <v>2022</v>
      </c>
    </row>
    <row r="28" spans="1:13">
      <c r="A28" s="24" t="s">
        <v>13</v>
      </c>
      <c r="B28" s="24">
        <v>3030303030303</v>
      </c>
      <c r="C28" s="24" t="s">
        <v>85</v>
      </c>
      <c r="D28" s="86">
        <v>44606</v>
      </c>
      <c r="E28" s="84">
        <v>44940</v>
      </c>
      <c r="F28" s="88">
        <v>5621</v>
      </c>
      <c r="G28" s="91">
        <v>12</v>
      </c>
      <c r="H28" s="83">
        <v>11</v>
      </c>
      <c r="I28" s="88">
        <v>468.41666666666669</v>
      </c>
      <c r="J28" s="24">
        <v>2</v>
      </c>
      <c r="K28" s="24">
        <v>2022</v>
      </c>
      <c r="L28" s="24">
        <v>1</v>
      </c>
      <c r="M28" s="24">
        <v>2023</v>
      </c>
    </row>
    <row r="29" spans="1:13">
      <c r="A29" s="24" t="s">
        <v>13</v>
      </c>
      <c r="B29" s="24">
        <v>3030303030303</v>
      </c>
      <c r="C29" s="24" t="s">
        <v>85</v>
      </c>
      <c r="D29" s="86">
        <v>44606</v>
      </c>
      <c r="E29" s="84">
        <v>44971</v>
      </c>
      <c r="F29" s="88">
        <v>5621</v>
      </c>
      <c r="G29" s="91">
        <v>12</v>
      </c>
      <c r="H29" s="83">
        <v>12</v>
      </c>
      <c r="I29" s="88">
        <v>468.41666666666669</v>
      </c>
      <c r="J29" s="24">
        <v>2</v>
      </c>
      <c r="K29" s="24">
        <v>2022</v>
      </c>
      <c r="L29" s="24">
        <v>2</v>
      </c>
      <c r="M29" s="24">
        <v>2023</v>
      </c>
    </row>
    <row r="30" spans="1:13">
      <c r="A30" s="24" t="s">
        <v>41</v>
      </c>
      <c r="B30" s="24">
        <v>13365514967</v>
      </c>
      <c r="C30" s="24" t="s">
        <v>84</v>
      </c>
      <c r="D30" s="86">
        <v>44606</v>
      </c>
      <c r="E30" s="84">
        <v>44634</v>
      </c>
      <c r="F30" s="88">
        <v>5621</v>
      </c>
      <c r="G30" s="91">
        <v>7</v>
      </c>
      <c r="H30" s="83">
        <v>1</v>
      </c>
      <c r="I30" s="88">
        <v>803</v>
      </c>
      <c r="J30" s="24">
        <v>2</v>
      </c>
      <c r="K30" s="24">
        <v>2022</v>
      </c>
      <c r="L30" s="24">
        <v>3</v>
      </c>
      <c r="M30" s="24">
        <v>2022</v>
      </c>
    </row>
    <row r="31" spans="1:13">
      <c r="A31" s="24" t="s">
        <v>41</v>
      </c>
      <c r="B31" s="24">
        <v>13365514967</v>
      </c>
      <c r="C31" s="24" t="s">
        <v>84</v>
      </c>
      <c r="D31" s="86">
        <v>44606</v>
      </c>
      <c r="E31" s="84">
        <v>44665</v>
      </c>
      <c r="F31" s="88">
        <v>5621</v>
      </c>
      <c r="G31" s="91">
        <v>7</v>
      </c>
      <c r="H31" s="83">
        <v>2</v>
      </c>
      <c r="I31" s="88">
        <v>803</v>
      </c>
      <c r="J31" s="24">
        <v>2</v>
      </c>
      <c r="K31" s="24">
        <v>2022</v>
      </c>
      <c r="L31" s="24">
        <v>4</v>
      </c>
      <c r="M31" s="24">
        <v>2022</v>
      </c>
    </row>
    <row r="32" spans="1:13">
      <c r="A32" s="24" t="s">
        <v>41</v>
      </c>
      <c r="B32" s="24">
        <v>13365514967</v>
      </c>
      <c r="C32" s="24" t="s">
        <v>84</v>
      </c>
      <c r="D32" s="86">
        <v>44606</v>
      </c>
      <c r="E32" s="84">
        <v>44695</v>
      </c>
      <c r="F32" s="88">
        <v>5621</v>
      </c>
      <c r="G32" s="91">
        <v>7</v>
      </c>
      <c r="H32" s="83">
        <v>3</v>
      </c>
      <c r="I32" s="88">
        <v>803</v>
      </c>
      <c r="J32" s="24">
        <v>2</v>
      </c>
      <c r="K32" s="24">
        <v>2022</v>
      </c>
      <c r="L32" s="24">
        <v>5</v>
      </c>
      <c r="M32" s="24">
        <v>2022</v>
      </c>
    </row>
    <row r="33" spans="1:13">
      <c r="A33" s="24" t="s">
        <v>41</v>
      </c>
      <c r="B33" s="24">
        <v>13365514967</v>
      </c>
      <c r="C33" s="24" t="s">
        <v>84</v>
      </c>
      <c r="D33" s="86">
        <v>44606</v>
      </c>
      <c r="E33" s="84">
        <v>44726</v>
      </c>
      <c r="F33" s="88">
        <v>5621</v>
      </c>
      <c r="G33" s="91">
        <v>7</v>
      </c>
      <c r="H33" s="83">
        <v>4</v>
      </c>
      <c r="I33" s="88">
        <v>803</v>
      </c>
      <c r="J33" s="24">
        <v>2</v>
      </c>
      <c r="K33" s="24">
        <v>2022</v>
      </c>
      <c r="L33" s="24">
        <v>6</v>
      </c>
      <c r="M33" s="24">
        <v>2022</v>
      </c>
    </row>
    <row r="34" spans="1:13">
      <c r="A34" s="24" t="s">
        <v>41</v>
      </c>
      <c r="B34" s="24">
        <v>13365514967</v>
      </c>
      <c r="C34" s="24" t="s">
        <v>84</v>
      </c>
      <c r="D34" s="86">
        <v>44606</v>
      </c>
      <c r="E34" s="84">
        <v>44756</v>
      </c>
      <c r="F34" s="88">
        <v>5621</v>
      </c>
      <c r="G34" s="91">
        <v>7</v>
      </c>
      <c r="H34" s="83">
        <v>5</v>
      </c>
      <c r="I34" s="88">
        <v>803</v>
      </c>
      <c r="J34" s="24">
        <v>2</v>
      </c>
      <c r="K34" s="24">
        <v>2022</v>
      </c>
      <c r="L34" s="24">
        <v>7</v>
      </c>
      <c r="M34" s="24">
        <v>2022</v>
      </c>
    </row>
    <row r="35" spans="1:13">
      <c r="A35" s="24" t="s">
        <v>41</v>
      </c>
      <c r="B35" s="24">
        <v>13365514967</v>
      </c>
      <c r="C35" s="24" t="s">
        <v>84</v>
      </c>
      <c r="D35" s="86">
        <v>44606</v>
      </c>
      <c r="E35" s="84">
        <v>44787</v>
      </c>
      <c r="F35" s="88">
        <v>5621</v>
      </c>
      <c r="G35" s="91">
        <v>7</v>
      </c>
      <c r="H35" s="83">
        <v>6</v>
      </c>
      <c r="I35" s="88">
        <v>803</v>
      </c>
      <c r="J35" s="24">
        <v>2</v>
      </c>
      <c r="K35" s="24">
        <v>2022</v>
      </c>
      <c r="L35" s="24">
        <v>8</v>
      </c>
      <c r="M35" s="24">
        <v>2022</v>
      </c>
    </row>
    <row r="36" spans="1:13">
      <c r="A36" s="24" t="s">
        <v>41</v>
      </c>
      <c r="B36" s="24">
        <v>13365514967</v>
      </c>
      <c r="C36" s="24" t="s">
        <v>84</v>
      </c>
      <c r="D36" s="86">
        <v>44606</v>
      </c>
      <c r="E36" s="84">
        <v>44818</v>
      </c>
      <c r="F36" s="88">
        <v>5621</v>
      </c>
      <c r="G36" s="91">
        <v>7</v>
      </c>
      <c r="H36" s="83">
        <v>7</v>
      </c>
      <c r="I36" s="88">
        <v>803</v>
      </c>
      <c r="J36" s="24">
        <v>2</v>
      </c>
      <c r="K36" s="24">
        <v>2022</v>
      </c>
      <c r="L36" s="24">
        <v>9</v>
      </c>
      <c r="M36" s="24">
        <v>2022</v>
      </c>
    </row>
    <row r="37" spans="1:13">
      <c r="A37" s="24" t="s">
        <v>34</v>
      </c>
      <c r="B37" s="24">
        <v>7303330974</v>
      </c>
      <c r="C37" s="24" t="s">
        <v>99</v>
      </c>
      <c r="D37" s="86">
        <v>45037</v>
      </c>
      <c r="E37" s="84">
        <v>45067</v>
      </c>
      <c r="F37" s="88">
        <v>2856</v>
      </c>
      <c r="G37" s="91">
        <v>12</v>
      </c>
      <c r="H37" s="83">
        <v>1</v>
      </c>
      <c r="I37" s="88">
        <v>238</v>
      </c>
      <c r="J37" s="24">
        <v>4</v>
      </c>
      <c r="K37" s="24">
        <v>2023</v>
      </c>
      <c r="L37" s="24">
        <v>5</v>
      </c>
      <c r="M37" s="24">
        <v>2023</v>
      </c>
    </row>
    <row r="38" spans="1:13">
      <c r="A38" s="24" t="s">
        <v>34</v>
      </c>
      <c r="B38" s="24">
        <v>7303330974</v>
      </c>
      <c r="C38" s="24" t="s">
        <v>99</v>
      </c>
      <c r="D38" s="86">
        <v>45037</v>
      </c>
      <c r="E38" s="84">
        <v>45098</v>
      </c>
      <c r="F38" s="88">
        <v>2856</v>
      </c>
      <c r="G38" s="91">
        <v>12</v>
      </c>
      <c r="H38" s="83">
        <v>2</v>
      </c>
      <c r="I38" s="88">
        <v>238</v>
      </c>
      <c r="J38" s="24">
        <v>4</v>
      </c>
      <c r="K38" s="24">
        <v>2023</v>
      </c>
      <c r="L38" s="24">
        <v>6</v>
      </c>
      <c r="M38" s="24">
        <v>2023</v>
      </c>
    </row>
    <row r="39" spans="1:13">
      <c r="A39" s="24" t="s">
        <v>34</v>
      </c>
      <c r="B39" s="24">
        <v>7303330974</v>
      </c>
      <c r="C39" s="24" t="s">
        <v>99</v>
      </c>
      <c r="D39" s="86">
        <v>45037</v>
      </c>
      <c r="E39" s="84">
        <v>45128</v>
      </c>
      <c r="F39" s="88">
        <v>2856</v>
      </c>
      <c r="G39" s="91">
        <v>12</v>
      </c>
      <c r="H39" s="83">
        <v>3</v>
      </c>
      <c r="I39" s="88">
        <v>238</v>
      </c>
      <c r="J39" s="24">
        <v>4</v>
      </c>
      <c r="K39" s="24">
        <v>2023</v>
      </c>
      <c r="L39" s="24">
        <v>7</v>
      </c>
      <c r="M39" s="24">
        <v>2023</v>
      </c>
    </row>
    <row r="40" spans="1:13">
      <c r="A40" s="24" t="s">
        <v>34</v>
      </c>
      <c r="B40" s="24">
        <v>7303330974</v>
      </c>
      <c r="C40" s="24" t="s">
        <v>99</v>
      </c>
      <c r="D40" s="86">
        <v>45037</v>
      </c>
      <c r="E40" s="84">
        <v>45159</v>
      </c>
      <c r="F40" s="88">
        <v>2856</v>
      </c>
      <c r="G40" s="91">
        <v>12</v>
      </c>
      <c r="H40" s="83">
        <v>4</v>
      </c>
      <c r="I40" s="88">
        <v>238</v>
      </c>
      <c r="J40" s="24">
        <v>4</v>
      </c>
      <c r="K40" s="24">
        <v>2023</v>
      </c>
      <c r="L40" s="24">
        <v>8</v>
      </c>
      <c r="M40" s="24">
        <v>2023</v>
      </c>
    </row>
    <row r="41" spans="1:13">
      <c r="A41" s="24" t="s">
        <v>34</v>
      </c>
      <c r="B41" s="24">
        <v>7303330974</v>
      </c>
      <c r="C41" s="24" t="s">
        <v>99</v>
      </c>
      <c r="D41" s="86">
        <v>45037</v>
      </c>
      <c r="E41" s="84">
        <v>45190</v>
      </c>
      <c r="F41" s="88">
        <v>2856</v>
      </c>
      <c r="G41" s="91">
        <v>12</v>
      </c>
      <c r="H41" s="83">
        <v>5</v>
      </c>
      <c r="I41" s="88">
        <v>238</v>
      </c>
      <c r="J41" s="24">
        <v>4</v>
      </c>
      <c r="K41" s="24">
        <v>2023</v>
      </c>
      <c r="L41" s="24">
        <v>9</v>
      </c>
      <c r="M41" s="24">
        <v>2023</v>
      </c>
    </row>
    <row r="42" spans="1:13">
      <c r="A42" s="24" t="s">
        <v>34</v>
      </c>
      <c r="B42" s="24">
        <v>7303330974</v>
      </c>
      <c r="C42" s="24" t="s">
        <v>99</v>
      </c>
      <c r="D42" s="86">
        <v>45037</v>
      </c>
      <c r="E42" s="84">
        <v>45220</v>
      </c>
      <c r="F42" s="88">
        <v>2856</v>
      </c>
      <c r="G42" s="91">
        <v>12</v>
      </c>
      <c r="H42" s="83">
        <v>6</v>
      </c>
      <c r="I42" s="88">
        <v>238</v>
      </c>
      <c r="J42" s="24">
        <v>4</v>
      </c>
      <c r="K42" s="24">
        <v>2023</v>
      </c>
      <c r="L42" s="24">
        <v>10</v>
      </c>
      <c r="M42" s="24">
        <v>2023</v>
      </c>
    </row>
    <row r="43" spans="1:13">
      <c r="A43" s="24" t="s">
        <v>34</v>
      </c>
      <c r="B43" s="24">
        <v>7303330974</v>
      </c>
      <c r="C43" s="24" t="s">
        <v>99</v>
      </c>
      <c r="D43" s="86">
        <v>45037</v>
      </c>
      <c r="E43" s="84">
        <v>45251</v>
      </c>
      <c r="F43" s="88">
        <v>2856</v>
      </c>
      <c r="G43" s="91">
        <v>12</v>
      </c>
      <c r="H43" s="83">
        <v>7</v>
      </c>
      <c r="I43" s="88">
        <v>238</v>
      </c>
      <c r="J43" s="24">
        <v>4</v>
      </c>
      <c r="K43" s="24">
        <v>2023</v>
      </c>
      <c r="L43" s="24">
        <v>11</v>
      </c>
      <c r="M43" s="24">
        <v>2023</v>
      </c>
    </row>
    <row r="44" spans="1:13">
      <c r="A44" s="24" t="s">
        <v>34</v>
      </c>
      <c r="B44" s="24">
        <v>7303330974</v>
      </c>
      <c r="C44" s="24" t="s">
        <v>99</v>
      </c>
      <c r="D44" s="86">
        <v>45037</v>
      </c>
      <c r="E44" s="84">
        <v>45281</v>
      </c>
      <c r="F44" s="88">
        <v>2856</v>
      </c>
      <c r="G44" s="91">
        <v>12</v>
      </c>
      <c r="H44" s="83">
        <v>8</v>
      </c>
      <c r="I44" s="88">
        <v>238</v>
      </c>
      <c r="J44" s="24">
        <v>4</v>
      </c>
      <c r="K44" s="24">
        <v>2023</v>
      </c>
      <c r="L44" s="24">
        <v>12</v>
      </c>
      <c r="M44" s="24">
        <v>2023</v>
      </c>
    </row>
    <row r="45" spans="1:13">
      <c r="A45" s="24" t="s">
        <v>34</v>
      </c>
      <c r="B45" s="24">
        <v>7303330974</v>
      </c>
      <c r="C45" s="24" t="s">
        <v>99</v>
      </c>
      <c r="D45" s="86">
        <v>45037</v>
      </c>
      <c r="E45" s="84">
        <v>45312</v>
      </c>
      <c r="F45" s="88">
        <v>2856</v>
      </c>
      <c r="G45" s="91">
        <v>12</v>
      </c>
      <c r="H45" s="83">
        <v>9</v>
      </c>
      <c r="I45" s="88">
        <v>238</v>
      </c>
      <c r="J45" s="24">
        <v>4</v>
      </c>
      <c r="K45" s="24">
        <v>2023</v>
      </c>
      <c r="L45" s="24">
        <v>1</v>
      </c>
      <c r="M45" s="24">
        <v>2024</v>
      </c>
    </row>
    <row r="46" spans="1:13">
      <c r="A46" s="24" t="s">
        <v>34</v>
      </c>
      <c r="B46" s="24">
        <v>7303330974</v>
      </c>
      <c r="C46" s="24" t="s">
        <v>99</v>
      </c>
      <c r="D46" s="86">
        <v>45037</v>
      </c>
      <c r="E46" s="84">
        <v>45343</v>
      </c>
      <c r="F46" s="88">
        <v>2856</v>
      </c>
      <c r="G46" s="91">
        <v>12</v>
      </c>
      <c r="H46" s="83">
        <v>10</v>
      </c>
      <c r="I46" s="88">
        <v>238</v>
      </c>
      <c r="J46" s="24">
        <v>4</v>
      </c>
      <c r="K46" s="24">
        <v>2023</v>
      </c>
      <c r="L46" s="24">
        <v>2</v>
      </c>
      <c r="M46" s="24">
        <v>2024</v>
      </c>
    </row>
    <row r="47" spans="1:13">
      <c r="A47" s="24" t="s">
        <v>34</v>
      </c>
      <c r="B47" s="24">
        <v>7303330974</v>
      </c>
      <c r="C47" s="24" t="s">
        <v>99</v>
      </c>
      <c r="D47" s="86">
        <v>45037</v>
      </c>
      <c r="E47" s="84">
        <v>45372</v>
      </c>
      <c r="F47" s="88">
        <v>2856</v>
      </c>
      <c r="G47" s="91">
        <v>12</v>
      </c>
      <c r="H47" s="83">
        <v>11</v>
      </c>
      <c r="I47" s="88">
        <v>238</v>
      </c>
      <c r="J47" s="24">
        <v>4</v>
      </c>
      <c r="K47" s="24">
        <v>2023</v>
      </c>
      <c r="L47" s="24">
        <v>3</v>
      </c>
      <c r="M47" s="24">
        <v>2024</v>
      </c>
    </row>
    <row r="48" spans="1:13">
      <c r="A48" s="24" t="s">
        <v>34</v>
      </c>
      <c r="B48" s="24">
        <v>7303330974</v>
      </c>
      <c r="C48" s="24" t="s">
        <v>99</v>
      </c>
      <c r="D48" s="86">
        <v>45037</v>
      </c>
      <c r="E48" s="84">
        <v>45403</v>
      </c>
      <c r="F48" s="88">
        <v>2856</v>
      </c>
      <c r="G48" s="91">
        <v>12</v>
      </c>
      <c r="H48" s="83">
        <v>12</v>
      </c>
      <c r="I48" s="88">
        <v>238</v>
      </c>
      <c r="J48" s="24">
        <v>4</v>
      </c>
      <c r="K48" s="24">
        <v>2023</v>
      </c>
      <c r="L48" s="24">
        <v>4</v>
      </c>
      <c r="M48" s="24">
        <v>2024</v>
      </c>
    </row>
    <row r="49" spans="1:13">
      <c r="A49" s="24" t="s">
        <v>34</v>
      </c>
      <c r="B49" s="24">
        <v>7303330974</v>
      </c>
      <c r="C49" s="24" t="s">
        <v>86</v>
      </c>
      <c r="D49" s="86">
        <v>44606</v>
      </c>
      <c r="E49" s="84">
        <v>44634</v>
      </c>
      <c r="F49" s="88">
        <v>1000</v>
      </c>
      <c r="G49" s="91">
        <v>10</v>
      </c>
      <c r="H49" s="83">
        <v>1</v>
      </c>
      <c r="I49" s="88">
        <v>100</v>
      </c>
      <c r="J49" s="24">
        <v>2</v>
      </c>
      <c r="K49" s="24">
        <v>2022</v>
      </c>
      <c r="L49" s="24">
        <v>3</v>
      </c>
      <c r="M49" s="24">
        <v>2022</v>
      </c>
    </row>
    <row r="50" spans="1:13">
      <c r="A50" s="24" t="s">
        <v>34</v>
      </c>
      <c r="B50" s="24">
        <v>7303330974</v>
      </c>
      <c r="C50" s="24" t="s">
        <v>86</v>
      </c>
      <c r="D50" s="86">
        <v>44606</v>
      </c>
      <c r="E50" s="84">
        <v>44665</v>
      </c>
      <c r="F50" s="88">
        <v>1000</v>
      </c>
      <c r="G50" s="91">
        <v>10</v>
      </c>
      <c r="H50" s="83">
        <v>2</v>
      </c>
      <c r="I50" s="88">
        <v>100</v>
      </c>
      <c r="J50" s="24">
        <v>2</v>
      </c>
      <c r="K50" s="24">
        <v>2022</v>
      </c>
      <c r="L50" s="24">
        <v>4</v>
      </c>
      <c r="M50" s="24">
        <v>2022</v>
      </c>
    </row>
    <row r="51" spans="1:13">
      <c r="A51" s="24" t="s">
        <v>34</v>
      </c>
      <c r="B51" s="24">
        <v>7303330974</v>
      </c>
      <c r="C51" s="24" t="s">
        <v>86</v>
      </c>
      <c r="D51" s="86">
        <v>44606</v>
      </c>
      <c r="E51" s="84">
        <v>44695</v>
      </c>
      <c r="F51" s="88">
        <v>1000</v>
      </c>
      <c r="G51" s="91">
        <v>10</v>
      </c>
      <c r="H51" s="83">
        <v>3</v>
      </c>
      <c r="I51" s="88">
        <v>100</v>
      </c>
      <c r="J51" s="24">
        <v>2</v>
      </c>
      <c r="K51" s="24">
        <v>2022</v>
      </c>
      <c r="L51" s="24">
        <v>5</v>
      </c>
      <c r="M51" s="24">
        <v>2022</v>
      </c>
    </row>
    <row r="52" spans="1:13">
      <c r="A52" s="24" t="s">
        <v>34</v>
      </c>
      <c r="B52" s="24">
        <v>7303330974</v>
      </c>
      <c r="C52" s="24" t="s">
        <v>86</v>
      </c>
      <c r="D52" s="86">
        <v>44606</v>
      </c>
      <c r="E52" s="84">
        <v>44726</v>
      </c>
      <c r="F52" s="88">
        <v>1000</v>
      </c>
      <c r="G52" s="91">
        <v>10</v>
      </c>
      <c r="H52" s="83">
        <v>4</v>
      </c>
      <c r="I52" s="88">
        <v>100</v>
      </c>
      <c r="J52" s="24">
        <v>2</v>
      </c>
      <c r="K52" s="24">
        <v>2022</v>
      </c>
      <c r="L52" s="24">
        <v>6</v>
      </c>
      <c r="M52" s="24">
        <v>2022</v>
      </c>
    </row>
    <row r="53" spans="1:13">
      <c r="A53" s="24" t="s">
        <v>34</v>
      </c>
      <c r="B53" s="24">
        <v>7303330974</v>
      </c>
      <c r="C53" s="24" t="s">
        <v>86</v>
      </c>
      <c r="D53" s="86">
        <v>44606</v>
      </c>
      <c r="E53" s="84">
        <v>44756</v>
      </c>
      <c r="F53" s="88">
        <v>1000</v>
      </c>
      <c r="G53" s="91">
        <v>10</v>
      </c>
      <c r="H53" s="83">
        <v>5</v>
      </c>
      <c r="I53" s="88">
        <v>100</v>
      </c>
      <c r="J53" s="24">
        <v>2</v>
      </c>
      <c r="K53" s="24">
        <v>2022</v>
      </c>
      <c r="L53" s="24">
        <v>7</v>
      </c>
      <c r="M53" s="24">
        <v>2022</v>
      </c>
    </row>
    <row r="54" spans="1:13">
      <c r="A54" s="24" t="s">
        <v>34</v>
      </c>
      <c r="B54" s="24">
        <v>7303330974</v>
      </c>
      <c r="C54" s="24" t="s">
        <v>86</v>
      </c>
      <c r="D54" s="86">
        <v>44606</v>
      </c>
      <c r="E54" s="84">
        <v>44787</v>
      </c>
      <c r="F54" s="88">
        <v>1000</v>
      </c>
      <c r="G54" s="91">
        <v>10</v>
      </c>
      <c r="H54" s="83">
        <v>6</v>
      </c>
      <c r="I54" s="88">
        <v>100</v>
      </c>
      <c r="J54" s="24">
        <v>2</v>
      </c>
      <c r="K54" s="24">
        <v>2022</v>
      </c>
      <c r="L54" s="24">
        <v>8</v>
      </c>
      <c r="M54" s="24">
        <v>2022</v>
      </c>
    </row>
    <row r="55" spans="1:13">
      <c r="A55" s="24" t="s">
        <v>34</v>
      </c>
      <c r="B55" s="24">
        <v>7303330974</v>
      </c>
      <c r="C55" s="24" t="s">
        <v>86</v>
      </c>
      <c r="D55" s="86">
        <v>44606</v>
      </c>
      <c r="E55" s="84">
        <v>44818</v>
      </c>
      <c r="F55" s="88">
        <v>1000</v>
      </c>
      <c r="G55" s="91">
        <v>10</v>
      </c>
      <c r="H55" s="83">
        <v>7</v>
      </c>
      <c r="I55" s="88">
        <v>100</v>
      </c>
      <c r="J55" s="24">
        <v>2</v>
      </c>
      <c r="K55" s="24">
        <v>2022</v>
      </c>
      <c r="L55" s="24">
        <v>9</v>
      </c>
      <c r="M55" s="24">
        <v>2022</v>
      </c>
    </row>
    <row r="56" spans="1:13">
      <c r="A56" s="24" t="s">
        <v>34</v>
      </c>
      <c r="B56" s="24">
        <v>7303330974</v>
      </c>
      <c r="C56" s="24" t="s">
        <v>86</v>
      </c>
      <c r="D56" s="86">
        <v>44606</v>
      </c>
      <c r="E56" s="84">
        <v>44848</v>
      </c>
      <c r="F56" s="88">
        <v>1000</v>
      </c>
      <c r="G56" s="91">
        <v>10</v>
      </c>
      <c r="H56" s="83">
        <v>8</v>
      </c>
      <c r="I56" s="88">
        <v>100</v>
      </c>
      <c r="J56" s="24">
        <v>2</v>
      </c>
      <c r="K56" s="24">
        <v>2022</v>
      </c>
      <c r="L56" s="24">
        <v>10</v>
      </c>
      <c r="M56" s="24">
        <v>2022</v>
      </c>
    </row>
    <row r="57" spans="1:13">
      <c r="A57" s="24" t="s">
        <v>34</v>
      </c>
      <c r="B57" s="24">
        <v>7303330974</v>
      </c>
      <c r="C57" s="24" t="s">
        <v>86</v>
      </c>
      <c r="D57" s="86">
        <v>44606</v>
      </c>
      <c r="E57" s="84">
        <v>44879</v>
      </c>
      <c r="F57" s="88">
        <v>1000</v>
      </c>
      <c r="G57" s="91">
        <v>10</v>
      </c>
      <c r="H57" s="83">
        <v>9</v>
      </c>
      <c r="I57" s="88">
        <v>100</v>
      </c>
      <c r="J57" s="24">
        <v>2</v>
      </c>
      <c r="K57" s="24">
        <v>2022</v>
      </c>
      <c r="L57" s="24">
        <v>11</v>
      </c>
      <c r="M57" s="24">
        <v>2022</v>
      </c>
    </row>
    <row r="58" spans="1:13">
      <c r="A58" s="24" t="s">
        <v>34</v>
      </c>
      <c r="B58" s="24">
        <v>7303330974</v>
      </c>
      <c r="C58" s="24" t="s">
        <v>86</v>
      </c>
      <c r="D58" s="86">
        <v>44606</v>
      </c>
      <c r="E58" s="84">
        <v>44909</v>
      </c>
      <c r="F58" s="88">
        <v>1000</v>
      </c>
      <c r="G58" s="91">
        <v>10</v>
      </c>
      <c r="H58" s="83">
        <v>10</v>
      </c>
      <c r="I58" s="88">
        <v>100</v>
      </c>
      <c r="J58" s="24">
        <v>2</v>
      </c>
      <c r="K58" s="24">
        <v>2022</v>
      </c>
      <c r="L58" s="24">
        <v>12</v>
      </c>
      <c r="M58" s="24">
        <v>2022</v>
      </c>
    </row>
    <row r="59" spans="1:13">
      <c r="A59" s="24" t="s">
        <v>34</v>
      </c>
      <c r="B59" s="24">
        <v>7303330974</v>
      </c>
      <c r="C59" s="24" t="s">
        <v>86</v>
      </c>
      <c r="D59" s="86">
        <v>44606</v>
      </c>
      <c r="E59" s="84">
        <v>44634</v>
      </c>
      <c r="F59" s="88">
        <v>1000</v>
      </c>
      <c r="G59" s="91">
        <v>12</v>
      </c>
      <c r="H59" s="83">
        <v>1</v>
      </c>
      <c r="I59" s="88">
        <v>83.333333333333329</v>
      </c>
      <c r="J59" s="24">
        <v>2</v>
      </c>
      <c r="K59" s="24">
        <v>2022</v>
      </c>
      <c r="L59" s="24">
        <v>3</v>
      </c>
      <c r="M59" s="24">
        <v>2022</v>
      </c>
    </row>
    <row r="60" spans="1:13">
      <c r="A60" s="24" t="s">
        <v>34</v>
      </c>
      <c r="B60" s="24">
        <v>7303330974</v>
      </c>
      <c r="C60" s="24" t="s">
        <v>86</v>
      </c>
      <c r="D60" s="86">
        <v>44606</v>
      </c>
      <c r="E60" s="84">
        <v>44665</v>
      </c>
      <c r="F60" s="88">
        <v>1000</v>
      </c>
      <c r="G60" s="91">
        <v>12</v>
      </c>
      <c r="H60" s="83">
        <v>2</v>
      </c>
      <c r="I60" s="88">
        <v>83.333333333333329</v>
      </c>
      <c r="J60" s="24">
        <v>2</v>
      </c>
      <c r="K60" s="24">
        <v>2022</v>
      </c>
      <c r="L60" s="24">
        <v>4</v>
      </c>
      <c r="M60" s="24">
        <v>2022</v>
      </c>
    </row>
    <row r="61" spans="1:13">
      <c r="A61" s="24" t="s">
        <v>34</v>
      </c>
      <c r="B61" s="24">
        <v>7303330974</v>
      </c>
      <c r="C61" s="24" t="s">
        <v>86</v>
      </c>
      <c r="D61" s="86">
        <v>44606</v>
      </c>
      <c r="E61" s="84">
        <v>44695</v>
      </c>
      <c r="F61" s="88">
        <v>1000</v>
      </c>
      <c r="G61" s="91">
        <v>12</v>
      </c>
      <c r="H61" s="83">
        <v>3</v>
      </c>
      <c r="I61" s="88">
        <v>83.333333333333329</v>
      </c>
      <c r="J61" s="24">
        <v>2</v>
      </c>
      <c r="K61" s="24">
        <v>2022</v>
      </c>
      <c r="L61" s="24">
        <v>5</v>
      </c>
      <c r="M61" s="24">
        <v>2022</v>
      </c>
    </row>
    <row r="62" spans="1:13" hidden="1">
      <c r="A62" s="24" t="s">
        <v>12</v>
      </c>
      <c r="B62" s="24">
        <v>202020202020</v>
      </c>
      <c r="C62" s="24" t="s">
        <v>89</v>
      </c>
      <c r="D62" s="86">
        <v>45028</v>
      </c>
      <c r="E62" s="84">
        <v>45058</v>
      </c>
      <c r="F62" s="88">
        <v>3500</v>
      </c>
      <c r="G62" s="91">
        <v>7</v>
      </c>
      <c r="H62" s="83">
        <v>1</v>
      </c>
      <c r="I62" s="88">
        <v>500</v>
      </c>
      <c r="J62" s="24">
        <v>4</v>
      </c>
      <c r="K62" s="24">
        <v>2023</v>
      </c>
      <c r="L62" s="24">
        <v>5</v>
      </c>
      <c r="M62" s="24">
        <v>2023</v>
      </c>
    </row>
    <row r="63" spans="1:13" hidden="1">
      <c r="A63" s="24" t="s">
        <v>12</v>
      </c>
      <c r="B63" s="24">
        <v>202020202020</v>
      </c>
      <c r="C63" s="24" t="s">
        <v>89</v>
      </c>
      <c r="D63" s="86">
        <v>45028</v>
      </c>
      <c r="E63" s="84">
        <v>45089</v>
      </c>
      <c r="F63" s="88">
        <v>3500</v>
      </c>
      <c r="G63" s="91">
        <v>7</v>
      </c>
      <c r="H63" s="83">
        <v>2</v>
      </c>
      <c r="I63" s="88">
        <v>500</v>
      </c>
      <c r="J63" s="24">
        <v>4</v>
      </c>
      <c r="K63" s="24">
        <v>2023</v>
      </c>
      <c r="L63" s="24">
        <v>6</v>
      </c>
      <c r="M63" s="24">
        <v>2023</v>
      </c>
    </row>
    <row r="64" spans="1:13" hidden="1">
      <c r="A64" s="24" t="s">
        <v>12</v>
      </c>
      <c r="B64" s="24">
        <v>202020202020</v>
      </c>
      <c r="C64" s="24" t="s">
        <v>89</v>
      </c>
      <c r="D64" s="86">
        <v>45028</v>
      </c>
      <c r="E64" s="84">
        <v>45119</v>
      </c>
      <c r="F64" s="88">
        <v>3500</v>
      </c>
      <c r="G64" s="91">
        <v>7</v>
      </c>
      <c r="H64" s="83">
        <v>3</v>
      </c>
      <c r="I64" s="88">
        <v>500</v>
      </c>
      <c r="J64" s="24">
        <v>4</v>
      </c>
      <c r="K64" s="24">
        <v>2023</v>
      </c>
      <c r="L64" s="24">
        <v>7</v>
      </c>
      <c r="M64" s="24">
        <v>2023</v>
      </c>
    </row>
    <row r="65" spans="1:13" hidden="1">
      <c r="A65" s="24" t="s">
        <v>12</v>
      </c>
      <c r="B65" s="24">
        <v>202020202020</v>
      </c>
      <c r="C65" s="24" t="s">
        <v>89</v>
      </c>
      <c r="D65" s="86">
        <v>45028</v>
      </c>
      <c r="E65" s="84">
        <v>45150</v>
      </c>
      <c r="F65" s="88">
        <v>3500</v>
      </c>
      <c r="G65" s="91">
        <v>7</v>
      </c>
      <c r="H65" s="83">
        <v>4</v>
      </c>
      <c r="I65" s="88">
        <v>500</v>
      </c>
      <c r="J65" s="24">
        <v>4</v>
      </c>
      <c r="K65" s="24">
        <v>2023</v>
      </c>
      <c r="L65" s="24">
        <v>8</v>
      </c>
      <c r="M65" s="24">
        <v>2023</v>
      </c>
    </row>
    <row r="66" spans="1:13" hidden="1">
      <c r="A66" s="24" t="s">
        <v>12</v>
      </c>
      <c r="B66" s="24">
        <v>202020202020</v>
      </c>
      <c r="C66" s="24" t="s">
        <v>89</v>
      </c>
      <c r="D66" s="86">
        <v>45028</v>
      </c>
      <c r="E66" s="84">
        <v>45181</v>
      </c>
      <c r="F66" s="88">
        <v>3500</v>
      </c>
      <c r="G66" s="91">
        <v>7</v>
      </c>
      <c r="H66" s="83">
        <v>5</v>
      </c>
      <c r="I66" s="88">
        <v>500</v>
      </c>
      <c r="J66" s="24">
        <v>4</v>
      </c>
      <c r="K66" s="24">
        <v>2023</v>
      </c>
      <c r="L66" s="24">
        <v>9</v>
      </c>
      <c r="M66" s="24">
        <v>2023</v>
      </c>
    </row>
    <row r="67" spans="1:13" hidden="1">
      <c r="A67" s="24" t="s">
        <v>12</v>
      </c>
      <c r="B67" s="24">
        <v>202020202020</v>
      </c>
      <c r="C67" s="24" t="s">
        <v>89</v>
      </c>
      <c r="D67" s="86">
        <v>45028</v>
      </c>
      <c r="E67" s="84">
        <v>45211</v>
      </c>
      <c r="F67" s="88">
        <v>3500</v>
      </c>
      <c r="G67" s="91">
        <v>7</v>
      </c>
      <c r="H67" s="83">
        <v>6</v>
      </c>
      <c r="I67" s="88">
        <v>500</v>
      </c>
      <c r="J67" s="24">
        <v>4</v>
      </c>
      <c r="K67" s="24">
        <v>2023</v>
      </c>
      <c r="L67" s="24">
        <v>10</v>
      </c>
      <c r="M67" s="24">
        <v>2023</v>
      </c>
    </row>
    <row r="68" spans="1:13" hidden="1">
      <c r="A68" s="24" t="s">
        <v>12</v>
      </c>
      <c r="B68" s="24">
        <v>202020202020</v>
      </c>
      <c r="C68" s="24" t="s">
        <v>89</v>
      </c>
      <c r="D68" s="86">
        <v>45028</v>
      </c>
      <c r="E68" s="84">
        <v>45242</v>
      </c>
      <c r="F68" s="88">
        <v>3500</v>
      </c>
      <c r="G68" s="91">
        <v>7</v>
      </c>
      <c r="H68" s="83">
        <v>7</v>
      </c>
      <c r="I68" s="88">
        <v>500</v>
      </c>
      <c r="J68" s="24">
        <v>4</v>
      </c>
      <c r="K68" s="24">
        <v>2023</v>
      </c>
      <c r="L68" s="24">
        <v>11</v>
      </c>
      <c r="M68" s="24">
        <v>2023</v>
      </c>
    </row>
    <row r="69" spans="1:13" hidden="1">
      <c r="A69" s="24" t="s">
        <v>48</v>
      </c>
      <c r="B69" s="24">
        <v>13616340129</v>
      </c>
      <c r="C69" s="24" t="s">
        <v>87</v>
      </c>
      <c r="D69" s="86">
        <v>45000</v>
      </c>
      <c r="E69" s="84">
        <v>45031</v>
      </c>
      <c r="F69" s="88">
        <v>1000</v>
      </c>
      <c r="G69" s="91">
        <v>5</v>
      </c>
      <c r="H69" s="83">
        <v>1</v>
      </c>
      <c r="I69" s="88">
        <v>200</v>
      </c>
      <c r="J69" s="24">
        <v>3</v>
      </c>
      <c r="K69" s="24">
        <v>2023</v>
      </c>
      <c r="L69" s="24">
        <v>4</v>
      </c>
      <c r="M69" s="24">
        <v>2023</v>
      </c>
    </row>
    <row r="70" spans="1:13" hidden="1">
      <c r="A70" s="24" t="s">
        <v>48</v>
      </c>
      <c r="B70" s="24">
        <v>13616340129</v>
      </c>
      <c r="C70" s="24" t="s">
        <v>87</v>
      </c>
      <c r="D70" s="86">
        <v>45000</v>
      </c>
      <c r="E70" s="84">
        <v>45061</v>
      </c>
      <c r="F70" s="88">
        <v>1000</v>
      </c>
      <c r="G70" s="91">
        <v>5</v>
      </c>
      <c r="H70" s="83">
        <v>2</v>
      </c>
      <c r="I70" s="88">
        <v>200</v>
      </c>
      <c r="J70" s="24">
        <v>3</v>
      </c>
      <c r="K70" s="24">
        <v>2023</v>
      </c>
      <c r="L70" s="24">
        <v>5</v>
      </c>
      <c r="M70" s="24">
        <v>2023</v>
      </c>
    </row>
    <row r="71" spans="1:13" hidden="1">
      <c r="A71" s="24" t="s">
        <v>48</v>
      </c>
      <c r="B71" s="24">
        <v>13616340129</v>
      </c>
      <c r="C71" s="24" t="s">
        <v>87</v>
      </c>
      <c r="D71" s="86">
        <v>45000</v>
      </c>
      <c r="E71" s="84">
        <v>45092</v>
      </c>
      <c r="F71" s="88">
        <v>1000</v>
      </c>
      <c r="G71" s="91">
        <v>5</v>
      </c>
      <c r="H71" s="83">
        <v>3</v>
      </c>
      <c r="I71" s="88">
        <v>200</v>
      </c>
      <c r="J71" s="24">
        <v>3</v>
      </c>
      <c r="K71" s="24">
        <v>2023</v>
      </c>
      <c r="L71" s="24">
        <v>6</v>
      </c>
      <c r="M71" s="24">
        <v>2023</v>
      </c>
    </row>
    <row r="72" spans="1:13" hidden="1">
      <c r="A72" s="24" t="s">
        <v>48</v>
      </c>
      <c r="B72" s="24">
        <v>13616340129</v>
      </c>
      <c r="C72" s="24" t="s">
        <v>87</v>
      </c>
      <c r="D72" s="86">
        <v>45000</v>
      </c>
      <c r="E72" s="84">
        <v>45122</v>
      </c>
      <c r="F72" s="88">
        <v>1000</v>
      </c>
      <c r="G72" s="91">
        <v>5</v>
      </c>
      <c r="H72" s="83">
        <v>4</v>
      </c>
      <c r="I72" s="88">
        <v>200</v>
      </c>
      <c r="J72" s="24">
        <v>3</v>
      </c>
      <c r="K72" s="24">
        <v>2023</v>
      </c>
      <c r="L72" s="24">
        <v>7</v>
      </c>
      <c r="M72" s="24">
        <v>2023</v>
      </c>
    </row>
    <row r="73" spans="1:13" hidden="1">
      <c r="A73" s="24" t="s">
        <v>48</v>
      </c>
      <c r="B73" s="24">
        <v>13616340129</v>
      </c>
      <c r="C73" s="24" t="s">
        <v>87</v>
      </c>
      <c r="D73" s="86">
        <v>45000</v>
      </c>
      <c r="E73" s="84">
        <v>45153</v>
      </c>
      <c r="F73" s="88">
        <v>1000</v>
      </c>
      <c r="G73" s="91">
        <v>5</v>
      </c>
      <c r="H73" s="83">
        <v>5</v>
      </c>
      <c r="I73" s="88">
        <v>200</v>
      </c>
      <c r="J73" s="24">
        <v>3</v>
      </c>
      <c r="K73" s="24">
        <v>2023</v>
      </c>
      <c r="L73" s="24">
        <v>8</v>
      </c>
      <c r="M73" s="24">
        <v>2023</v>
      </c>
    </row>
    <row r="74" spans="1:13" hidden="1">
      <c r="A74" s="24" t="s">
        <v>48</v>
      </c>
      <c r="B74" s="24">
        <v>13616340129</v>
      </c>
      <c r="C74" s="24" t="s">
        <v>87</v>
      </c>
      <c r="D74" s="86">
        <v>45000</v>
      </c>
      <c r="E74" s="84">
        <v>45031</v>
      </c>
      <c r="F74" s="88">
        <v>1000</v>
      </c>
      <c r="G74" s="91">
        <v>5</v>
      </c>
      <c r="H74" s="83">
        <v>1</v>
      </c>
      <c r="I74" s="88">
        <v>200</v>
      </c>
      <c r="J74" s="24">
        <v>3</v>
      </c>
      <c r="K74" s="24">
        <v>2023</v>
      </c>
      <c r="L74" s="24">
        <v>4</v>
      </c>
      <c r="M74" s="24">
        <v>2023</v>
      </c>
    </row>
    <row r="75" spans="1:13" hidden="1">
      <c r="A75" s="24" t="s">
        <v>48</v>
      </c>
      <c r="B75" s="24">
        <v>13616340129</v>
      </c>
      <c r="C75" s="24" t="s">
        <v>87</v>
      </c>
      <c r="D75" s="86">
        <v>45000</v>
      </c>
      <c r="E75" s="84">
        <v>45061</v>
      </c>
      <c r="F75" s="88">
        <v>1000</v>
      </c>
      <c r="G75" s="91">
        <v>5</v>
      </c>
      <c r="H75" s="83">
        <v>2</v>
      </c>
      <c r="I75" s="88">
        <v>200</v>
      </c>
      <c r="J75" s="24">
        <v>3</v>
      </c>
      <c r="K75" s="24">
        <v>2023</v>
      </c>
      <c r="L75" s="24">
        <v>5</v>
      </c>
      <c r="M75" s="24">
        <v>2023</v>
      </c>
    </row>
    <row r="76" spans="1:13" hidden="1">
      <c r="A76" s="24" t="s">
        <v>48</v>
      </c>
      <c r="B76" s="24">
        <v>13616340129</v>
      </c>
      <c r="C76" s="24" t="s">
        <v>87</v>
      </c>
      <c r="D76" s="86">
        <v>45000</v>
      </c>
      <c r="E76" s="84">
        <v>45092</v>
      </c>
      <c r="F76" s="88">
        <v>1000</v>
      </c>
      <c r="G76" s="91">
        <v>5</v>
      </c>
      <c r="H76" s="83">
        <v>3</v>
      </c>
      <c r="I76" s="88">
        <v>200</v>
      </c>
      <c r="J76" s="24">
        <v>3</v>
      </c>
      <c r="K76" s="24">
        <v>2023</v>
      </c>
      <c r="L76" s="24">
        <v>6</v>
      </c>
      <c r="M76" s="24">
        <v>2023</v>
      </c>
    </row>
    <row r="77" spans="1:13" hidden="1">
      <c r="A77" s="24" t="s">
        <v>48</v>
      </c>
      <c r="B77" s="24">
        <v>13616340129</v>
      </c>
      <c r="C77" s="24" t="s">
        <v>87</v>
      </c>
      <c r="D77" s="86">
        <v>45000</v>
      </c>
      <c r="E77" s="84">
        <v>45122</v>
      </c>
      <c r="F77" s="88">
        <v>1000</v>
      </c>
      <c r="G77" s="91">
        <v>5</v>
      </c>
      <c r="H77" s="83">
        <v>4</v>
      </c>
      <c r="I77" s="88">
        <v>200</v>
      </c>
      <c r="J77" s="24">
        <v>3</v>
      </c>
      <c r="K77" s="24">
        <v>2023</v>
      </c>
      <c r="L77" s="24">
        <v>7</v>
      </c>
      <c r="M77" s="24">
        <v>2023</v>
      </c>
    </row>
    <row r="78" spans="1:13" hidden="1">
      <c r="A78" s="24" t="s">
        <v>48</v>
      </c>
      <c r="B78" s="24">
        <v>13616340129</v>
      </c>
      <c r="C78" s="24" t="s">
        <v>87</v>
      </c>
      <c r="D78" s="86">
        <v>45000</v>
      </c>
      <c r="E78" s="84">
        <v>45153</v>
      </c>
      <c r="F78" s="88">
        <v>1000</v>
      </c>
      <c r="G78" s="91">
        <v>5</v>
      </c>
      <c r="H78" s="83">
        <v>5</v>
      </c>
      <c r="I78" s="88">
        <v>200</v>
      </c>
      <c r="J78" s="24">
        <v>3</v>
      </c>
      <c r="K78" s="24">
        <v>2023</v>
      </c>
      <c r="L78" s="24">
        <v>8</v>
      </c>
      <c r="M78" s="24">
        <v>2023</v>
      </c>
    </row>
    <row r="79" spans="1:13" hidden="1">
      <c r="A79" s="24" t="s">
        <v>48</v>
      </c>
      <c r="B79" s="24">
        <v>13616340129</v>
      </c>
      <c r="C79" s="24" t="s">
        <v>87</v>
      </c>
      <c r="D79" s="86">
        <v>45000</v>
      </c>
      <c r="E79" s="84">
        <v>45031</v>
      </c>
      <c r="F79" s="88">
        <v>1000</v>
      </c>
      <c r="G79" s="91">
        <v>5</v>
      </c>
      <c r="H79" s="83">
        <v>1</v>
      </c>
      <c r="I79" s="88">
        <v>200</v>
      </c>
      <c r="J79" s="24">
        <v>3</v>
      </c>
      <c r="K79" s="24">
        <v>2023</v>
      </c>
      <c r="L79" s="24">
        <v>4</v>
      </c>
      <c r="M79" s="24">
        <v>2023</v>
      </c>
    </row>
    <row r="80" spans="1:13" hidden="1">
      <c r="A80" s="24" t="s">
        <v>48</v>
      </c>
      <c r="B80" s="24">
        <v>13616340129</v>
      </c>
      <c r="C80" s="24" t="s">
        <v>87</v>
      </c>
      <c r="D80" s="86">
        <v>45000</v>
      </c>
      <c r="E80" s="84">
        <v>45061</v>
      </c>
      <c r="F80" s="88">
        <v>1000</v>
      </c>
      <c r="G80" s="91">
        <v>5</v>
      </c>
      <c r="H80" s="83">
        <v>2</v>
      </c>
      <c r="I80" s="88">
        <v>200</v>
      </c>
      <c r="J80" s="24">
        <v>3</v>
      </c>
      <c r="K80" s="24">
        <v>2023</v>
      </c>
      <c r="L80" s="24">
        <v>5</v>
      </c>
      <c r="M80" s="24">
        <v>2023</v>
      </c>
    </row>
    <row r="81" spans="1:13" hidden="1">
      <c r="A81" s="24" t="s">
        <v>48</v>
      </c>
      <c r="B81" s="24">
        <v>13616340129</v>
      </c>
      <c r="C81" s="24" t="s">
        <v>87</v>
      </c>
      <c r="D81" s="86">
        <v>45000</v>
      </c>
      <c r="E81" s="84">
        <v>45092</v>
      </c>
      <c r="F81" s="88">
        <v>1000</v>
      </c>
      <c r="G81" s="91">
        <v>5</v>
      </c>
      <c r="H81" s="83">
        <v>3</v>
      </c>
      <c r="I81" s="88">
        <v>200</v>
      </c>
      <c r="J81" s="24">
        <v>3</v>
      </c>
      <c r="K81" s="24">
        <v>2023</v>
      </c>
      <c r="L81" s="24">
        <v>6</v>
      </c>
      <c r="M81" s="24">
        <v>2023</v>
      </c>
    </row>
    <row r="82" spans="1:13" hidden="1">
      <c r="A82" s="24" t="s">
        <v>48</v>
      </c>
      <c r="B82" s="24">
        <v>13616340129</v>
      </c>
      <c r="C82" s="24" t="s">
        <v>87</v>
      </c>
      <c r="D82" s="86">
        <v>45000</v>
      </c>
      <c r="E82" s="84">
        <v>45122</v>
      </c>
      <c r="F82" s="88">
        <v>1000</v>
      </c>
      <c r="G82" s="91">
        <v>5</v>
      </c>
      <c r="H82" s="83">
        <v>4</v>
      </c>
      <c r="I82" s="88">
        <v>200</v>
      </c>
      <c r="J82" s="24">
        <v>3</v>
      </c>
      <c r="K82" s="24">
        <v>2023</v>
      </c>
      <c r="L82" s="24">
        <v>7</v>
      </c>
      <c r="M82" s="24">
        <v>2023</v>
      </c>
    </row>
    <row r="83" spans="1:13" hidden="1">
      <c r="A83" s="24" t="s">
        <v>48</v>
      </c>
      <c r="B83" s="24">
        <v>13616340129</v>
      </c>
      <c r="C83" s="24" t="s">
        <v>87</v>
      </c>
      <c r="D83" s="86">
        <v>45000</v>
      </c>
      <c r="E83" s="84">
        <v>45153</v>
      </c>
      <c r="F83" s="88">
        <v>1000</v>
      </c>
      <c r="G83" s="91">
        <v>5</v>
      </c>
      <c r="H83" s="83">
        <v>5</v>
      </c>
      <c r="I83" s="88">
        <v>200</v>
      </c>
      <c r="J83" s="24">
        <v>3</v>
      </c>
      <c r="K83" s="24">
        <v>2023</v>
      </c>
      <c r="L83" s="24">
        <v>8</v>
      </c>
      <c r="M83" s="24">
        <v>2023</v>
      </c>
    </row>
    <row r="84" spans="1:13" hidden="1">
      <c r="A84" s="24" t="s">
        <v>48</v>
      </c>
      <c r="B84" s="24">
        <v>13616340129</v>
      </c>
      <c r="C84" s="24" t="s">
        <v>87</v>
      </c>
      <c r="D84" s="86">
        <v>45000</v>
      </c>
      <c r="E84" s="84">
        <v>45031</v>
      </c>
      <c r="F84" s="88">
        <v>1000</v>
      </c>
      <c r="G84" s="91">
        <v>5</v>
      </c>
      <c r="H84" s="83">
        <v>1</v>
      </c>
      <c r="I84" s="88">
        <v>200</v>
      </c>
      <c r="J84" s="24">
        <v>3</v>
      </c>
      <c r="K84" s="24">
        <v>2023</v>
      </c>
      <c r="L84" s="24">
        <v>4</v>
      </c>
      <c r="M84" s="24">
        <v>2023</v>
      </c>
    </row>
    <row r="85" spans="1:13" hidden="1">
      <c r="A85" s="24" t="s">
        <v>48</v>
      </c>
      <c r="B85" s="24">
        <v>13616340129</v>
      </c>
      <c r="C85" s="24" t="s">
        <v>87</v>
      </c>
      <c r="D85" s="86">
        <v>45000</v>
      </c>
      <c r="E85" s="84">
        <v>45061</v>
      </c>
      <c r="F85" s="88">
        <v>1000</v>
      </c>
      <c r="G85" s="91">
        <v>5</v>
      </c>
      <c r="H85" s="83">
        <v>2</v>
      </c>
      <c r="I85" s="88">
        <v>200</v>
      </c>
      <c r="J85" s="24">
        <v>3</v>
      </c>
      <c r="K85" s="24">
        <v>2023</v>
      </c>
      <c r="L85" s="24">
        <v>5</v>
      </c>
      <c r="M85" s="24">
        <v>2023</v>
      </c>
    </row>
    <row r="86" spans="1:13" hidden="1">
      <c r="A86" s="24" t="s">
        <v>48</v>
      </c>
      <c r="B86" s="24">
        <v>13616340129</v>
      </c>
      <c r="C86" s="24" t="s">
        <v>87</v>
      </c>
      <c r="D86" s="86">
        <v>45000</v>
      </c>
      <c r="E86" s="84">
        <v>45092</v>
      </c>
      <c r="F86" s="88">
        <v>1000</v>
      </c>
      <c r="G86" s="91">
        <v>5</v>
      </c>
      <c r="H86" s="83">
        <v>3</v>
      </c>
      <c r="I86" s="88">
        <v>200</v>
      </c>
      <c r="J86" s="24">
        <v>3</v>
      </c>
      <c r="K86" s="24">
        <v>2023</v>
      </c>
      <c r="L86" s="24">
        <v>6</v>
      </c>
      <c r="M86" s="24">
        <v>2023</v>
      </c>
    </row>
    <row r="87" spans="1:13" hidden="1">
      <c r="A87" s="24" t="s">
        <v>48</v>
      </c>
      <c r="B87" s="24">
        <v>13616340129</v>
      </c>
      <c r="C87" s="24" t="s">
        <v>87</v>
      </c>
      <c r="D87" s="86">
        <v>45000</v>
      </c>
      <c r="E87" s="84">
        <v>45122</v>
      </c>
      <c r="F87" s="88">
        <v>1000</v>
      </c>
      <c r="G87" s="91">
        <v>5</v>
      </c>
      <c r="H87" s="83">
        <v>4</v>
      </c>
      <c r="I87" s="88">
        <v>200</v>
      </c>
      <c r="J87" s="24">
        <v>3</v>
      </c>
      <c r="K87" s="24">
        <v>2023</v>
      </c>
      <c r="L87" s="24">
        <v>7</v>
      </c>
      <c r="M87" s="24">
        <v>2023</v>
      </c>
    </row>
    <row r="88" spans="1:13" hidden="1">
      <c r="A88" s="24" t="s">
        <v>48</v>
      </c>
      <c r="B88" s="24">
        <v>13616340129</v>
      </c>
      <c r="C88" s="24" t="s">
        <v>87</v>
      </c>
      <c r="D88" s="86">
        <v>45000</v>
      </c>
      <c r="E88" s="84">
        <v>45153</v>
      </c>
      <c r="F88" s="88">
        <v>1000</v>
      </c>
      <c r="G88" s="91">
        <v>5</v>
      </c>
      <c r="H88" s="83">
        <v>5</v>
      </c>
      <c r="I88" s="88">
        <v>200</v>
      </c>
      <c r="J88" s="24">
        <v>3</v>
      </c>
      <c r="K88" s="24">
        <v>2023</v>
      </c>
      <c r="L88" s="24">
        <v>8</v>
      </c>
      <c r="M88" s="24">
        <v>2023</v>
      </c>
    </row>
    <row r="89" spans="1:13" hidden="1">
      <c r="A89" s="24" t="s">
        <v>48</v>
      </c>
      <c r="B89" s="24">
        <v>13616340129</v>
      </c>
      <c r="C89" s="24" t="s">
        <v>87</v>
      </c>
      <c r="D89" s="86">
        <v>45000</v>
      </c>
      <c r="E89" s="84">
        <v>45214</v>
      </c>
      <c r="F89" s="88">
        <v>1000</v>
      </c>
      <c r="G89" s="91">
        <v>10</v>
      </c>
      <c r="H89" s="83">
        <v>7</v>
      </c>
      <c r="I89" s="88">
        <v>100</v>
      </c>
      <c r="J89" s="24">
        <v>3</v>
      </c>
      <c r="K89" s="24">
        <v>2023</v>
      </c>
      <c r="L89" s="24">
        <v>10</v>
      </c>
      <c r="M89" s="24">
        <v>2023</v>
      </c>
    </row>
    <row r="90" spans="1:13" hidden="1">
      <c r="A90" s="24" t="s">
        <v>48</v>
      </c>
      <c r="B90" s="24">
        <v>13616340129</v>
      </c>
      <c r="C90" s="24" t="s">
        <v>87</v>
      </c>
      <c r="D90" s="86">
        <v>45000</v>
      </c>
      <c r="E90" s="84">
        <v>45245</v>
      </c>
      <c r="F90" s="88">
        <v>1000</v>
      </c>
      <c r="G90" s="91">
        <v>10</v>
      </c>
      <c r="H90" s="83">
        <v>8</v>
      </c>
      <c r="I90" s="88">
        <v>100</v>
      </c>
      <c r="J90" s="24">
        <v>3</v>
      </c>
      <c r="K90" s="24">
        <v>2023</v>
      </c>
      <c r="L90" s="24">
        <v>11</v>
      </c>
      <c r="M90" s="24">
        <v>2023</v>
      </c>
    </row>
    <row r="91" spans="1:13" hidden="1">
      <c r="A91" s="24" t="s">
        <v>48</v>
      </c>
      <c r="B91" s="24">
        <v>13616340129</v>
      </c>
      <c r="C91" s="24" t="s">
        <v>87</v>
      </c>
      <c r="D91" s="86">
        <v>45000</v>
      </c>
      <c r="E91" s="84">
        <v>45275</v>
      </c>
      <c r="F91" s="88">
        <v>1000</v>
      </c>
      <c r="G91" s="91">
        <v>10</v>
      </c>
      <c r="H91" s="83">
        <v>9</v>
      </c>
      <c r="I91" s="88">
        <v>100</v>
      </c>
      <c r="J91" s="24">
        <v>3</v>
      </c>
      <c r="K91" s="24">
        <v>2023</v>
      </c>
      <c r="L91" s="24">
        <v>12</v>
      </c>
      <c r="M91" s="24">
        <v>2023</v>
      </c>
    </row>
    <row r="92" spans="1:13" hidden="1">
      <c r="A92" s="24" t="s">
        <v>48</v>
      </c>
      <c r="B92" s="24">
        <v>13616340129</v>
      </c>
      <c r="C92" s="24" t="s">
        <v>87</v>
      </c>
      <c r="D92" s="86">
        <v>45000</v>
      </c>
      <c r="E92" s="84">
        <v>45306</v>
      </c>
      <c r="F92" s="88">
        <v>1000</v>
      </c>
      <c r="G92" s="91">
        <v>10</v>
      </c>
      <c r="H92" s="83">
        <v>10</v>
      </c>
      <c r="I92" s="88">
        <v>100</v>
      </c>
      <c r="J92" s="24">
        <v>3</v>
      </c>
      <c r="K92" s="24">
        <v>2023</v>
      </c>
      <c r="L92" s="24">
        <v>1</v>
      </c>
      <c r="M92" s="24">
        <v>2024</v>
      </c>
    </row>
    <row r="93" spans="1:13">
      <c r="A93" s="24" t="s">
        <v>34</v>
      </c>
      <c r="B93" s="24">
        <v>7303330974</v>
      </c>
      <c r="C93" s="24" t="s">
        <v>86</v>
      </c>
      <c r="D93" s="86">
        <v>44606</v>
      </c>
      <c r="E93" s="84">
        <v>44726</v>
      </c>
      <c r="F93" s="88">
        <v>1000</v>
      </c>
      <c r="G93" s="91">
        <v>12</v>
      </c>
      <c r="H93" s="83">
        <v>4</v>
      </c>
      <c r="I93" s="88">
        <v>83.333333333333329</v>
      </c>
      <c r="J93" s="24">
        <v>2</v>
      </c>
      <c r="K93" s="24">
        <v>2022</v>
      </c>
      <c r="L93" s="24">
        <v>6</v>
      </c>
      <c r="M93" s="24">
        <v>2022</v>
      </c>
    </row>
    <row r="94" spans="1:13">
      <c r="A94" s="24" t="s">
        <v>34</v>
      </c>
      <c r="B94" s="24">
        <v>7303330974</v>
      </c>
      <c r="C94" s="24" t="s">
        <v>86</v>
      </c>
      <c r="D94" s="86">
        <v>44606</v>
      </c>
      <c r="E94" s="84">
        <v>44756</v>
      </c>
      <c r="F94" s="88">
        <v>1000</v>
      </c>
      <c r="G94" s="91">
        <v>12</v>
      </c>
      <c r="H94" s="83">
        <v>5</v>
      </c>
      <c r="I94" s="88">
        <v>83.333333333333329</v>
      </c>
      <c r="J94" s="24">
        <v>2</v>
      </c>
      <c r="K94" s="24">
        <v>2022</v>
      </c>
      <c r="L94" s="24">
        <v>7</v>
      </c>
      <c r="M94" s="24">
        <v>2022</v>
      </c>
    </row>
    <row r="95" spans="1:13">
      <c r="A95" s="24" t="s">
        <v>34</v>
      </c>
      <c r="B95" s="24">
        <v>7303330974</v>
      </c>
      <c r="C95" s="24" t="s">
        <v>86</v>
      </c>
      <c r="D95" s="86">
        <v>44606</v>
      </c>
      <c r="E95" s="84">
        <v>44787</v>
      </c>
      <c r="F95" s="88">
        <v>1000</v>
      </c>
      <c r="G95" s="91">
        <v>12</v>
      </c>
      <c r="H95" s="83">
        <v>6</v>
      </c>
      <c r="I95" s="88">
        <v>83.333333333333329</v>
      </c>
      <c r="J95" s="24">
        <v>2</v>
      </c>
      <c r="K95" s="24">
        <v>2022</v>
      </c>
      <c r="L95" s="24">
        <v>8</v>
      </c>
      <c r="M95" s="24">
        <v>2022</v>
      </c>
    </row>
    <row r="96" spans="1:13">
      <c r="A96" s="24" t="s">
        <v>34</v>
      </c>
      <c r="B96" s="24">
        <v>7303330974</v>
      </c>
      <c r="C96" s="24" t="s">
        <v>86</v>
      </c>
      <c r="D96" s="86">
        <v>44606</v>
      </c>
      <c r="E96" s="84">
        <v>44818</v>
      </c>
      <c r="F96" s="88">
        <v>1000</v>
      </c>
      <c r="G96" s="91">
        <v>12</v>
      </c>
      <c r="H96" s="83">
        <v>7</v>
      </c>
      <c r="I96" s="88">
        <v>83.333333333333329</v>
      </c>
      <c r="J96" s="24">
        <v>2</v>
      </c>
      <c r="K96" s="24">
        <v>2022</v>
      </c>
      <c r="L96" s="24">
        <v>9</v>
      </c>
      <c r="M96" s="24">
        <v>2022</v>
      </c>
    </row>
    <row r="97" spans="1:13">
      <c r="A97" s="24" t="s">
        <v>34</v>
      </c>
      <c r="B97" s="24">
        <v>7303330974</v>
      </c>
      <c r="C97" s="24" t="s">
        <v>86</v>
      </c>
      <c r="D97" s="86">
        <v>44606</v>
      </c>
      <c r="E97" s="84">
        <v>44848</v>
      </c>
      <c r="F97" s="88">
        <v>1000</v>
      </c>
      <c r="G97" s="91">
        <v>12</v>
      </c>
      <c r="H97" s="83">
        <v>8</v>
      </c>
      <c r="I97" s="88">
        <v>83.333333333333329</v>
      </c>
      <c r="J97" s="24">
        <v>2</v>
      </c>
      <c r="K97" s="24">
        <v>2022</v>
      </c>
      <c r="L97" s="24">
        <v>10</v>
      </c>
      <c r="M97" s="24">
        <v>2022</v>
      </c>
    </row>
    <row r="98" spans="1:13">
      <c r="A98" s="24" t="s">
        <v>34</v>
      </c>
      <c r="B98" s="24">
        <v>7303330974</v>
      </c>
      <c r="C98" s="24" t="s">
        <v>86</v>
      </c>
      <c r="D98" s="86">
        <v>44606</v>
      </c>
      <c r="E98" s="84">
        <v>44879</v>
      </c>
      <c r="F98" s="88">
        <v>1000</v>
      </c>
      <c r="G98" s="91">
        <v>12</v>
      </c>
      <c r="H98" s="83">
        <v>9</v>
      </c>
      <c r="I98" s="88">
        <v>83.333333333333329</v>
      </c>
      <c r="J98" s="24">
        <v>2</v>
      </c>
      <c r="K98" s="24">
        <v>2022</v>
      </c>
      <c r="L98" s="24">
        <v>11</v>
      </c>
      <c r="M98" s="24">
        <v>2022</v>
      </c>
    </row>
    <row r="99" spans="1:13">
      <c r="A99" s="24" t="s">
        <v>34</v>
      </c>
      <c r="B99" s="24">
        <v>7303330974</v>
      </c>
      <c r="C99" s="24" t="s">
        <v>86</v>
      </c>
      <c r="D99" s="86">
        <v>44606</v>
      </c>
      <c r="E99" s="84">
        <v>44909</v>
      </c>
      <c r="F99" s="88">
        <v>1000</v>
      </c>
      <c r="G99" s="91">
        <v>12</v>
      </c>
      <c r="H99" s="83">
        <v>10</v>
      </c>
      <c r="I99" s="88">
        <v>83.333333333333329</v>
      </c>
      <c r="J99" s="24">
        <v>2</v>
      </c>
      <c r="K99" s="24">
        <v>2022</v>
      </c>
      <c r="L99" s="24">
        <v>12</v>
      </c>
      <c r="M99" s="24">
        <v>2022</v>
      </c>
    </row>
    <row r="100" spans="1:13">
      <c r="A100" s="24" t="s">
        <v>34</v>
      </c>
      <c r="B100" s="24">
        <v>7303330974</v>
      </c>
      <c r="C100" s="24" t="s">
        <v>86</v>
      </c>
      <c r="D100" s="86">
        <v>44606</v>
      </c>
      <c r="E100" s="84">
        <v>44940</v>
      </c>
      <c r="F100" s="88">
        <v>1000</v>
      </c>
      <c r="G100" s="91">
        <v>12</v>
      </c>
      <c r="H100" s="83">
        <v>11</v>
      </c>
      <c r="I100" s="88">
        <v>83.333333333333329</v>
      </c>
      <c r="J100" s="24">
        <v>2</v>
      </c>
      <c r="K100" s="24">
        <v>2022</v>
      </c>
      <c r="L100" s="24">
        <v>1</v>
      </c>
      <c r="M100" s="24">
        <v>2023</v>
      </c>
    </row>
    <row r="101" spans="1:13">
      <c r="A101" s="24" t="s">
        <v>34</v>
      </c>
      <c r="B101" s="24">
        <v>7303330974</v>
      </c>
      <c r="C101" s="24" t="s">
        <v>86</v>
      </c>
      <c r="D101" s="86">
        <v>44606</v>
      </c>
      <c r="E101" s="84">
        <v>44971</v>
      </c>
      <c r="F101" s="88">
        <v>1000</v>
      </c>
      <c r="G101" s="91">
        <v>12</v>
      </c>
      <c r="H101" s="83">
        <v>12</v>
      </c>
      <c r="I101" s="88">
        <v>83.333333333333329</v>
      </c>
      <c r="J101" s="24">
        <v>2</v>
      </c>
      <c r="K101" s="24">
        <v>2022</v>
      </c>
      <c r="L101" s="24">
        <v>2</v>
      </c>
      <c r="M101" s="24">
        <v>2023</v>
      </c>
    </row>
    <row r="102" spans="1:13">
      <c r="A102" s="24" t="s">
        <v>34</v>
      </c>
      <c r="B102" s="24">
        <v>7303330974</v>
      </c>
      <c r="C102" s="24" t="s">
        <v>86</v>
      </c>
      <c r="D102" s="86">
        <v>44606</v>
      </c>
      <c r="E102" s="84">
        <v>44634</v>
      </c>
      <c r="F102" s="88">
        <v>1000</v>
      </c>
      <c r="G102" s="91">
        <v>4</v>
      </c>
      <c r="H102" s="83">
        <v>1</v>
      </c>
      <c r="I102" s="88">
        <v>250</v>
      </c>
      <c r="J102" s="24">
        <v>2</v>
      </c>
      <c r="K102" s="24">
        <v>2022</v>
      </c>
      <c r="L102" s="24">
        <v>3</v>
      </c>
      <c r="M102" s="24">
        <v>2022</v>
      </c>
    </row>
    <row r="103" spans="1:13">
      <c r="A103" s="24" t="s">
        <v>34</v>
      </c>
      <c r="B103" s="24">
        <v>7303330974</v>
      </c>
      <c r="C103" s="24" t="s">
        <v>86</v>
      </c>
      <c r="D103" s="86">
        <v>44606</v>
      </c>
      <c r="E103" s="84">
        <v>44665</v>
      </c>
      <c r="F103" s="88">
        <v>1000</v>
      </c>
      <c r="G103" s="91">
        <v>4</v>
      </c>
      <c r="H103" s="83">
        <v>2</v>
      </c>
      <c r="I103" s="88">
        <v>250</v>
      </c>
      <c r="J103" s="24">
        <v>2</v>
      </c>
      <c r="K103" s="24">
        <v>2022</v>
      </c>
      <c r="L103" s="24">
        <v>4</v>
      </c>
      <c r="M103" s="24">
        <v>2022</v>
      </c>
    </row>
    <row r="104" spans="1:13">
      <c r="A104" s="24" t="s">
        <v>34</v>
      </c>
      <c r="B104" s="24">
        <v>7303330974</v>
      </c>
      <c r="C104" s="24" t="s">
        <v>86</v>
      </c>
      <c r="D104" s="86">
        <v>44606</v>
      </c>
      <c r="E104" s="84">
        <v>44695</v>
      </c>
      <c r="F104" s="88">
        <v>1000</v>
      </c>
      <c r="G104" s="91">
        <v>4</v>
      </c>
      <c r="H104" s="83">
        <v>3</v>
      </c>
      <c r="I104" s="88">
        <v>250</v>
      </c>
      <c r="J104" s="24">
        <v>2</v>
      </c>
      <c r="K104" s="24">
        <v>2022</v>
      </c>
      <c r="L104" s="24">
        <v>5</v>
      </c>
      <c r="M104" s="24">
        <v>2022</v>
      </c>
    </row>
    <row r="105" spans="1:13">
      <c r="A105" s="24" t="s">
        <v>34</v>
      </c>
      <c r="B105" s="24">
        <v>7303330974</v>
      </c>
      <c r="C105" s="24" t="s">
        <v>86</v>
      </c>
      <c r="D105" s="86">
        <v>44606</v>
      </c>
      <c r="E105" s="84">
        <v>44726</v>
      </c>
      <c r="F105" s="88">
        <v>1000</v>
      </c>
      <c r="G105" s="91">
        <v>4</v>
      </c>
      <c r="H105" s="83">
        <v>4</v>
      </c>
      <c r="I105" s="88">
        <v>250</v>
      </c>
      <c r="J105" s="24">
        <v>2</v>
      </c>
      <c r="K105" s="24">
        <v>2022</v>
      </c>
      <c r="L105" s="24">
        <v>6</v>
      </c>
      <c r="M105" s="24">
        <v>2022</v>
      </c>
    </row>
    <row r="106" spans="1:13">
      <c r="A106" s="24" t="s">
        <v>34</v>
      </c>
      <c r="B106" s="24">
        <v>7303330974</v>
      </c>
      <c r="C106" s="24" t="s">
        <v>86</v>
      </c>
      <c r="D106" s="86">
        <v>44606</v>
      </c>
      <c r="E106" s="84">
        <v>44634</v>
      </c>
      <c r="F106" s="88">
        <v>1000</v>
      </c>
      <c r="G106" s="91">
        <v>3</v>
      </c>
      <c r="H106" s="83">
        <v>1</v>
      </c>
      <c r="I106" s="88">
        <v>333.33333333333331</v>
      </c>
      <c r="J106" s="24">
        <v>2</v>
      </c>
      <c r="K106" s="24">
        <v>2022</v>
      </c>
      <c r="L106" s="24">
        <v>3</v>
      </c>
      <c r="M106" s="24">
        <v>2022</v>
      </c>
    </row>
    <row r="107" spans="1:13">
      <c r="A107" s="24" t="s">
        <v>34</v>
      </c>
      <c r="B107" s="24">
        <v>7303330974</v>
      </c>
      <c r="C107" s="24" t="s">
        <v>86</v>
      </c>
      <c r="D107" s="86">
        <v>44606</v>
      </c>
      <c r="E107" s="84">
        <v>44665</v>
      </c>
      <c r="F107" s="88">
        <v>1000</v>
      </c>
      <c r="G107" s="91">
        <v>3</v>
      </c>
      <c r="H107" s="83">
        <v>2</v>
      </c>
      <c r="I107" s="88">
        <v>333.33333333333331</v>
      </c>
      <c r="J107" s="24">
        <v>2</v>
      </c>
      <c r="K107" s="24">
        <v>2022</v>
      </c>
      <c r="L107" s="24">
        <v>4</v>
      </c>
      <c r="M107" s="24">
        <v>2022</v>
      </c>
    </row>
    <row r="108" spans="1:13">
      <c r="A108" s="24" t="s">
        <v>34</v>
      </c>
      <c r="B108" s="24">
        <v>7303330974</v>
      </c>
      <c r="C108" s="24" t="s">
        <v>86</v>
      </c>
      <c r="D108" s="86">
        <v>44606</v>
      </c>
      <c r="E108" s="84">
        <v>44695</v>
      </c>
      <c r="F108" s="88">
        <v>1000</v>
      </c>
      <c r="G108" s="91">
        <v>3</v>
      </c>
      <c r="H108" s="83">
        <v>3</v>
      </c>
      <c r="I108" s="88">
        <v>333.33333333333331</v>
      </c>
      <c r="J108" s="24">
        <v>2</v>
      </c>
      <c r="K108" s="24">
        <v>2022</v>
      </c>
      <c r="L108" s="24">
        <v>5</v>
      </c>
      <c r="M108" s="24">
        <v>2022</v>
      </c>
    </row>
    <row r="109" spans="1:13">
      <c r="A109" s="147" t="s">
        <v>32</v>
      </c>
      <c r="B109" s="147">
        <v>13481923178</v>
      </c>
      <c r="C109" s="147" t="s">
        <v>99</v>
      </c>
      <c r="D109" s="150">
        <v>45387</v>
      </c>
      <c r="E109" s="149">
        <v>45417</v>
      </c>
      <c r="F109" s="88">
        <v>2856</v>
      </c>
      <c r="G109" s="151">
        <v>8</v>
      </c>
      <c r="H109" s="148">
        <v>1</v>
      </c>
      <c r="I109" s="88">
        <v>357</v>
      </c>
      <c r="J109" s="147">
        <v>4</v>
      </c>
      <c r="K109" s="147">
        <v>2024</v>
      </c>
      <c r="L109" s="147">
        <v>5</v>
      </c>
      <c r="M109" s="147">
        <v>2024</v>
      </c>
    </row>
    <row r="110" spans="1:13">
      <c r="A110" s="147" t="s">
        <v>32</v>
      </c>
      <c r="B110" s="147">
        <v>13481923178</v>
      </c>
      <c r="C110" s="147" t="s">
        <v>99</v>
      </c>
      <c r="D110" s="150">
        <v>45387</v>
      </c>
      <c r="E110" s="149">
        <v>45448</v>
      </c>
      <c r="F110" s="88">
        <v>2856</v>
      </c>
      <c r="G110" s="151">
        <v>8</v>
      </c>
      <c r="H110" s="148">
        <v>2</v>
      </c>
      <c r="I110" s="88">
        <v>357</v>
      </c>
      <c r="J110" s="147">
        <v>4</v>
      </c>
      <c r="K110" s="147">
        <v>2024</v>
      </c>
      <c r="L110" s="147">
        <v>6</v>
      </c>
      <c r="M110" s="147">
        <v>2024</v>
      </c>
    </row>
    <row r="111" spans="1:13">
      <c r="A111" s="147" t="s">
        <v>32</v>
      </c>
      <c r="B111" s="147">
        <v>13481923178</v>
      </c>
      <c r="C111" s="147" t="s">
        <v>99</v>
      </c>
      <c r="D111" s="150">
        <v>45387</v>
      </c>
      <c r="E111" s="149">
        <v>45478</v>
      </c>
      <c r="F111" s="88">
        <v>2856</v>
      </c>
      <c r="G111" s="151">
        <v>8</v>
      </c>
      <c r="H111" s="148">
        <v>3</v>
      </c>
      <c r="I111" s="88">
        <v>357</v>
      </c>
      <c r="J111" s="147">
        <v>4</v>
      </c>
      <c r="K111" s="147">
        <v>2024</v>
      </c>
      <c r="L111" s="147">
        <v>7</v>
      </c>
      <c r="M111" s="147">
        <v>2024</v>
      </c>
    </row>
    <row r="112" spans="1:13">
      <c r="A112" s="147" t="s">
        <v>32</v>
      </c>
      <c r="B112" s="147">
        <v>13481923178</v>
      </c>
      <c r="C112" s="147" t="s">
        <v>99</v>
      </c>
      <c r="D112" s="150">
        <v>45387</v>
      </c>
      <c r="E112" s="149">
        <v>45509</v>
      </c>
      <c r="F112" s="88">
        <v>2856</v>
      </c>
      <c r="G112" s="151">
        <v>8</v>
      </c>
      <c r="H112" s="148">
        <v>4</v>
      </c>
      <c r="I112" s="88">
        <v>357</v>
      </c>
      <c r="J112" s="147">
        <v>4</v>
      </c>
      <c r="K112" s="147">
        <v>2024</v>
      </c>
      <c r="L112" s="147">
        <v>8</v>
      </c>
      <c r="M112" s="147">
        <v>2024</v>
      </c>
    </row>
    <row r="113" spans="1:13">
      <c r="A113" s="147" t="s">
        <v>32</v>
      </c>
      <c r="B113" s="147">
        <v>13481923178</v>
      </c>
      <c r="C113" s="147" t="s">
        <v>99</v>
      </c>
      <c r="D113" s="150">
        <v>45387</v>
      </c>
      <c r="E113" s="149">
        <v>45540</v>
      </c>
      <c r="F113" s="88">
        <v>2856</v>
      </c>
      <c r="G113" s="151">
        <v>8</v>
      </c>
      <c r="H113" s="148">
        <v>5</v>
      </c>
      <c r="I113" s="88">
        <v>357</v>
      </c>
      <c r="J113" s="147">
        <v>4</v>
      </c>
      <c r="K113" s="147">
        <v>2024</v>
      </c>
      <c r="L113" s="147">
        <v>9</v>
      </c>
      <c r="M113" s="147">
        <v>2024</v>
      </c>
    </row>
    <row r="114" spans="1:13">
      <c r="A114" s="147" t="s">
        <v>32</v>
      </c>
      <c r="B114" s="147">
        <v>13481923178</v>
      </c>
      <c r="C114" s="147" t="s">
        <v>99</v>
      </c>
      <c r="D114" s="150">
        <v>45387</v>
      </c>
      <c r="E114" s="149">
        <v>45570</v>
      </c>
      <c r="F114" s="88">
        <v>2856</v>
      </c>
      <c r="G114" s="151">
        <v>8</v>
      </c>
      <c r="H114" s="148">
        <v>6</v>
      </c>
      <c r="I114" s="88">
        <v>357</v>
      </c>
      <c r="J114" s="147">
        <v>4</v>
      </c>
      <c r="K114" s="147">
        <v>2024</v>
      </c>
      <c r="L114" s="147">
        <v>10</v>
      </c>
      <c r="M114" s="147">
        <v>2024</v>
      </c>
    </row>
    <row r="115" spans="1:13">
      <c r="A115" s="147" t="s">
        <v>32</v>
      </c>
      <c r="B115" s="147">
        <v>13481923178</v>
      </c>
      <c r="C115" s="147" t="s">
        <v>99</v>
      </c>
      <c r="D115" s="150">
        <v>45387</v>
      </c>
      <c r="E115" s="149">
        <v>45601</v>
      </c>
      <c r="F115" s="88">
        <v>2856</v>
      </c>
      <c r="G115" s="151">
        <v>8</v>
      </c>
      <c r="H115" s="148">
        <v>7</v>
      </c>
      <c r="I115" s="88">
        <v>357</v>
      </c>
      <c r="J115" s="147">
        <v>4</v>
      </c>
      <c r="K115" s="147">
        <v>2024</v>
      </c>
      <c r="L115" s="147">
        <v>11</v>
      </c>
      <c r="M115" s="147">
        <v>2024</v>
      </c>
    </row>
    <row r="116" spans="1:13">
      <c r="A116" s="147" t="s">
        <v>32</v>
      </c>
      <c r="B116" s="147">
        <v>13481923178</v>
      </c>
      <c r="C116" s="147" t="s">
        <v>99</v>
      </c>
      <c r="D116" s="150">
        <v>45387</v>
      </c>
      <c r="E116" s="149">
        <v>45631</v>
      </c>
      <c r="F116" s="88">
        <v>2856</v>
      </c>
      <c r="G116" s="151">
        <v>8</v>
      </c>
      <c r="H116" s="148">
        <v>8</v>
      </c>
      <c r="I116" s="88">
        <v>357</v>
      </c>
      <c r="J116" s="147">
        <v>4</v>
      </c>
      <c r="K116" s="147">
        <v>2024</v>
      </c>
      <c r="L116" s="147">
        <v>12</v>
      </c>
      <c r="M116" s="147">
        <v>2024</v>
      </c>
    </row>
    <row r="117" spans="1:13">
      <c r="A117" s="147" t="s">
        <v>32</v>
      </c>
      <c r="B117" s="147">
        <v>13481923178</v>
      </c>
      <c r="C117" s="147" t="s">
        <v>99</v>
      </c>
      <c r="D117" s="150">
        <v>44990</v>
      </c>
      <c r="E117" s="149">
        <v>45021</v>
      </c>
      <c r="F117" s="88">
        <v>2856</v>
      </c>
      <c r="G117" s="151">
        <v>8</v>
      </c>
      <c r="H117" s="148">
        <v>1</v>
      </c>
      <c r="I117" s="88">
        <v>357</v>
      </c>
      <c r="J117" s="147">
        <v>3</v>
      </c>
      <c r="K117" s="147">
        <v>2023</v>
      </c>
      <c r="L117" s="147">
        <v>4</v>
      </c>
      <c r="M117" s="147">
        <v>2023</v>
      </c>
    </row>
    <row r="118" spans="1:13">
      <c r="A118" s="147" t="s">
        <v>32</v>
      </c>
      <c r="B118" s="147">
        <v>13481923178</v>
      </c>
      <c r="C118" s="147" t="s">
        <v>99</v>
      </c>
      <c r="D118" s="150">
        <v>44990</v>
      </c>
      <c r="E118" s="149">
        <v>45051</v>
      </c>
      <c r="F118" s="88">
        <v>2856</v>
      </c>
      <c r="G118" s="151">
        <v>8</v>
      </c>
      <c r="H118" s="148">
        <v>2</v>
      </c>
      <c r="I118" s="88">
        <v>357</v>
      </c>
      <c r="J118" s="147">
        <v>3</v>
      </c>
      <c r="K118" s="147">
        <v>2023</v>
      </c>
      <c r="L118" s="147">
        <v>5</v>
      </c>
      <c r="M118" s="147">
        <v>2023</v>
      </c>
    </row>
    <row r="119" spans="1:13">
      <c r="A119" s="147" t="s">
        <v>32</v>
      </c>
      <c r="B119" s="147">
        <v>13481923178</v>
      </c>
      <c r="C119" s="147" t="s">
        <v>99</v>
      </c>
      <c r="D119" s="150">
        <v>44990</v>
      </c>
      <c r="E119" s="149">
        <v>45082</v>
      </c>
      <c r="F119" s="88">
        <v>2856</v>
      </c>
      <c r="G119" s="151">
        <v>8</v>
      </c>
      <c r="H119" s="148">
        <v>3</v>
      </c>
      <c r="I119" s="88">
        <v>357</v>
      </c>
      <c r="J119" s="147">
        <v>3</v>
      </c>
      <c r="K119" s="147">
        <v>2023</v>
      </c>
      <c r="L119" s="147">
        <v>6</v>
      </c>
      <c r="M119" s="147">
        <v>2023</v>
      </c>
    </row>
    <row r="120" spans="1:13">
      <c r="A120" s="147" t="s">
        <v>32</v>
      </c>
      <c r="B120" s="147">
        <v>13481923178</v>
      </c>
      <c r="C120" s="147" t="s">
        <v>99</v>
      </c>
      <c r="D120" s="150">
        <v>44990</v>
      </c>
      <c r="E120" s="149">
        <v>45112</v>
      </c>
      <c r="F120" s="88">
        <v>2856</v>
      </c>
      <c r="G120" s="151">
        <v>8</v>
      </c>
      <c r="H120" s="148">
        <v>4</v>
      </c>
      <c r="I120" s="88">
        <v>357</v>
      </c>
      <c r="J120" s="147">
        <v>3</v>
      </c>
      <c r="K120" s="147">
        <v>2023</v>
      </c>
      <c r="L120" s="147">
        <v>7</v>
      </c>
      <c r="M120" s="147">
        <v>2023</v>
      </c>
    </row>
    <row r="121" spans="1:13">
      <c r="A121" s="147" t="s">
        <v>32</v>
      </c>
      <c r="B121" s="147">
        <v>13481923178</v>
      </c>
      <c r="C121" s="147" t="s">
        <v>99</v>
      </c>
      <c r="D121" s="150">
        <v>44990</v>
      </c>
      <c r="E121" s="149">
        <v>45143</v>
      </c>
      <c r="F121" s="88">
        <v>2856</v>
      </c>
      <c r="G121" s="151">
        <v>8</v>
      </c>
      <c r="H121" s="148">
        <v>5</v>
      </c>
      <c r="I121" s="88">
        <v>357</v>
      </c>
      <c r="J121" s="147">
        <v>3</v>
      </c>
      <c r="K121" s="147">
        <v>2023</v>
      </c>
      <c r="L121" s="147">
        <v>8</v>
      </c>
      <c r="M121" s="147">
        <v>2023</v>
      </c>
    </row>
    <row r="122" spans="1:13">
      <c r="A122" s="147" t="s">
        <v>32</v>
      </c>
      <c r="B122" s="147">
        <v>13481923178</v>
      </c>
      <c r="C122" s="147" t="s">
        <v>99</v>
      </c>
      <c r="D122" s="150">
        <v>44990</v>
      </c>
      <c r="E122" s="149">
        <v>45174</v>
      </c>
      <c r="F122" s="88">
        <v>2856</v>
      </c>
      <c r="G122" s="151">
        <v>8</v>
      </c>
      <c r="H122" s="148">
        <v>6</v>
      </c>
      <c r="I122" s="88">
        <v>357</v>
      </c>
      <c r="J122" s="147">
        <v>3</v>
      </c>
      <c r="K122" s="147">
        <v>2023</v>
      </c>
      <c r="L122" s="147">
        <v>9</v>
      </c>
      <c r="M122" s="147">
        <v>2023</v>
      </c>
    </row>
    <row r="123" spans="1:13">
      <c r="A123" s="147" t="s">
        <v>32</v>
      </c>
      <c r="B123" s="147">
        <v>13481923178</v>
      </c>
      <c r="C123" s="147" t="s">
        <v>99</v>
      </c>
      <c r="D123" s="150">
        <v>44990</v>
      </c>
      <c r="E123" s="149">
        <v>45204</v>
      </c>
      <c r="F123" s="88">
        <v>2856</v>
      </c>
      <c r="G123" s="151">
        <v>8</v>
      </c>
      <c r="H123" s="148">
        <v>7</v>
      </c>
      <c r="I123" s="88">
        <v>357</v>
      </c>
      <c r="J123" s="147">
        <v>3</v>
      </c>
      <c r="K123" s="147">
        <v>2023</v>
      </c>
      <c r="L123" s="147">
        <v>10</v>
      </c>
      <c r="M123" s="147">
        <v>2023</v>
      </c>
    </row>
    <row r="124" spans="1:13">
      <c r="A124" s="147" t="s">
        <v>32</v>
      </c>
      <c r="B124" s="147">
        <v>13481923178</v>
      </c>
      <c r="C124" s="147" t="s">
        <v>99</v>
      </c>
      <c r="D124" s="150">
        <v>44990</v>
      </c>
      <c r="E124" s="149">
        <v>45235</v>
      </c>
      <c r="F124" s="88">
        <v>2856</v>
      </c>
      <c r="G124" s="151">
        <v>8</v>
      </c>
      <c r="H124" s="148">
        <v>8</v>
      </c>
      <c r="I124" s="88">
        <v>357</v>
      </c>
      <c r="J124" s="147">
        <v>3</v>
      </c>
      <c r="K124" s="147">
        <v>2023</v>
      </c>
      <c r="L124" s="147">
        <v>11</v>
      </c>
      <c r="M124" s="147">
        <v>2023</v>
      </c>
    </row>
    <row r="125" spans="1:13">
      <c r="A125" s="147" t="s">
        <v>88</v>
      </c>
      <c r="B125" s="147" t="s">
        <v>88</v>
      </c>
      <c r="C125" s="147" t="s">
        <v>88</v>
      </c>
      <c r="D125" s="150" t="s">
        <v>88</v>
      </c>
      <c r="E125" s="149" t="s">
        <v>88</v>
      </c>
      <c r="F125" s="88" t="s">
        <v>88</v>
      </c>
      <c r="G125" s="151" t="s">
        <v>88</v>
      </c>
      <c r="H125" s="148" t="s">
        <v>88</v>
      </c>
      <c r="I125" s="88" t="s">
        <v>88</v>
      </c>
      <c r="J125" s="147" t="s">
        <v>88</v>
      </c>
      <c r="K125" s="147" t="s">
        <v>88</v>
      </c>
      <c r="L125" s="147" t="s">
        <v>88</v>
      </c>
      <c r="M125" s="147" t="s">
        <v>88</v>
      </c>
    </row>
    <row r="126" spans="1:13">
      <c r="A126" s="147" t="s">
        <v>88</v>
      </c>
      <c r="B126" s="147" t="s">
        <v>88</v>
      </c>
      <c r="C126" s="147" t="s">
        <v>88</v>
      </c>
      <c r="D126" s="150" t="s">
        <v>88</v>
      </c>
      <c r="E126" s="149" t="s">
        <v>88</v>
      </c>
      <c r="F126" s="88" t="s">
        <v>88</v>
      </c>
      <c r="G126" s="151" t="s">
        <v>88</v>
      </c>
      <c r="H126" s="148" t="s">
        <v>88</v>
      </c>
      <c r="I126" s="88" t="s">
        <v>88</v>
      </c>
      <c r="J126" s="147" t="s">
        <v>88</v>
      </c>
      <c r="K126" s="147" t="s">
        <v>88</v>
      </c>
      <c r="L126" s="147" t="s">
        <v>88</v>
      </c>
      <c r="M126" s="147" t="s">
        <v>88</v>
      </c>
    </row>
    <row r="127" spans="1:13">
      <c r="A127" s="147" t="s">
        <v>88</v>
      </c>
      <c r="B127" s="147" t="s">
        <v>88</v>
      </c>
      <c r="C127" s="147" t="s">
        <v>88</v>
      </c>
      <c r="D127" s="150" t="s">
        <v>88</v>
      </c>
      <c r="E127" s="149" t="s">
        <v>88</v>
      </c>
      <c r="F127" s="88" t="s">
        <v>88</v>
      </c>
      <c r="G127" s="151" t="s">
        <v>88</v>
      </c>
      <c r="H127" s="148" t="s">
        <v>88</v>
      </c>
      <c r="I127" s="88" t="s">
        <v>88</v>
      </c>
      <c r="J127" s="147" t="s">
        <v>88</v>
      </c>
      <c r="K127" s="147" t="s">
        <v>88</v>
      </c>
      <c r="L127" s="147" t="s">
        <v>88</v>
      </c>
      <c r="M127" s="147" t="s">
        <v>88</v>
      </c>
    </row>
    <row r="128" spans="1:13">
      <c r="A128" s="147" t="s">
        <v>88</v>
      </c>
      <c r="B128" s="147" t="s">
        <v>88</v>
      </c>
      <c r="C128" s="147" t="s">
        <v>88</v>
      </c>
      <c r="D128" s="150" t="s">
        <v>88</v>
      </c>
      <c r="E128" s="149" t="s">
        <v>88</v>
      </c>
      <c r="F128" s="88" t="s">
        <v>88</v>
      </c>
      <c r="G128" s="151" t="s">
        <v>88</v>
      </c>
      <c r="H128" s="148" t="s">
        <v>88</v>
      </c>
      <c r="I128" s="88" t="s">
        <v>88</v>
      </c>
      <c r="J128" s="147" t="s">
        <v>88</v>
      </c>
      <c r="K128" s="147" t="s">
        <v>88</v>
      </c>
      <c r="L128" s="147" t="s">
        <v>88</v>
      </c>
      <c r="M128" s="147" t="s">
        <v>88</v>
      </c>
    </row>
    <row r="129" spans="1:13">
      <c r="A129" s="147" t="s">
        <v>88</v>
      </c>
      <c r="B129" s="147" t="s">
        <v>88</v>
      </c>
      <c r="C129" s="147" t="s">
        <v>88</v>
      </c>
      <c r="D129" s="150" t="s">
        <v>88</v>
      </c>
      <c r="E129" s="149" t="s">
        <v>88</v>
      </c>
      <c r="F129" s="88" t="s">
        <v>88</v>
      </c>
      <c r="G129" s="151" t="s">
        <v>88</v>
      </c>
      <c r="H129" s="148" t="s">
        <v>88</v>
      </c>
      <c r="I129" s="88" t="s">
        <v>88</v>
      </c>
      <c r="J129" s="147" t="s">
        <v>88</v>
      </c>
      <c r="K129" s="147" t="s">
        <v>88</v>
      </c>
      <c r="L129" s="147" t="s">
        <v>88</v>
      </c>
      <c r="M129" s="147" t="s">
        <v>88</v>
      </c>
    </row>
    <row r="130" spans="1:13">
      <c r="A130" s="147" t="s">
        <v>88</v>
      </c>
      <c r="B130" s="147" t="s">
        <v>88</v>
      </c>
      <c r="C130" s="147" t="s">
        <v>88</v>
      </c>
      <c r="D130" s="150" t="s">
        <v>88</v>
      </c>
      <c r="E130" s="149" t="s">
        <v>88</v>
      </c>
      <c r="F130" s="88" t="s">
        <v>88</v>
      </c>
      <c r="G130" s="151" t="s">
        <v>88</v>
      </c>
      <c r="H130" s="148" t="s">
        <v>88</v>
      </c>
      <c r="I130" s="88" t="s">
        <v>88</v>
      </c>
      <c r="J130" s="147" t="s">
        <v>88</v>
      </c>
      <c r="K130" s="147" t="s">
        <v>88</v>
      </c>
      <c r="L130" s="147" t="s">
        <v>88</v>
      </c>
      <c r="M130" s="147" t="s">
        <v>88</v>
      </c>
    </row>
    <row r="131" spans="1:13">
      <c r="A131" s="147" t="s">
        <v>88</v>
      </c>
      <c r="B131" s="147" t="s">
        <v>88</v>
      </c>
      <c r="C131" s="147" t="s">
        <v>88</v>
      </c>
      <c r="D131" s="150" t="s">
        <v>88</v>
      </c>
      <c r="E131" s="149" t="s">
        <v>88</v>
      </c>
      <c r="F131" s="88" t="s">
        <v>88</v>
      </c>
      <c r="G131" s="151" t="s">
        <v>88</v>
      </c>
      <c r="H131" s="148" t="s">
        <v>88</v>
      </c>
      <c r="I131" s="88" t="s">
        <v>88</v>
      </c>
      <c r="J131" s="147" t="s">
        <v>88</v>
      </c>
      <c r="K131" s="147" t="s">
        <v>88</v>
      </c>
      <c r="L131" s="147" t="s">
        <v>88</v>
      </c>
      <c r="M131" s="147" t="s">
        <v>88</v>
      </c>
    </row>
    <row r="132" spans="1:13">
      <c r="A132" s="147" t="s">
        <v>88</v>
      </c>
      <c r="B132" s="147" t="s">
        <v>88</v>
      </c>
      <c r="C132" s="147" t="s">
        <v>88</v>
      </c>
      <c r="D132" s="150" t="s">
        <v>88</v>
      </c>
      <c r="E132" s="149" t="s">
        <v>88</v>
      </c>
      <c r="F132" s="88" t="s">
        <v>88</v>
      </c>
      <c r="G132" s="151" t="s">
        <v>88</v>
      </c>
      <c r="H132" s="148" t="s">
        <v>88</v>
      </c>
      <c r="I132" s="88" t="s">
        <v>88</v>
      </c>
      <c r="J132" s="147" t="s">
        <v>88</v>
      </c>
      <c r="K132" s="147" t="s">
        <v>88</v>
      </c>
      <c r="L132" s="147" t="s">
        <v>88</v>
      </c>
      <c r="M132" s="147" t="s">
        <v>88</v>
      </c>
    </row>
    <row r="133" spans="1:13">
      <c r="A133" s="24" t="s">
        <v>88</v>
      </c>
      <c r="B133" s="24" t="s">
        <v>88</v>
      </c>
      <c r="C133" s="24" t="s">
        <v>88</v>
      </c>
      <c r="D133" s="86" t="s">
        <v>88</v>
      </c>
      <c r="E133" s="84" t="s">
        <v>88</v>
      </c>
      <c r="F133" s="88" t="s">
        <v>88</v>
      </c>
      <c r="G133" s="91" t="s">
        <v>88</v>
      </c>
      <c r="H133" s="83" t="s">
        <v>88</v>
      </c>
      <c r="I133" s="88" t="s">
        <v>88</v>
      </c>
      <c r="J133" s="24" t="s">
        <v>88</v>
      </c>
      <c r="K133" s="24" t="s">
        <v>88</v>
      </c>
      <c r="L133" s="24" t="s">
        <v>88</v>
      </c>
      <c r="M133" s="24" t="s">
        <v>88</v>
      </c>
    </row>
    <row r="134" spans="1:13">
      <c r="A134" s="24" t="s">
        <v>88</v>
      </c>
      <c r="B134" s="24" t="s">
        <v>88</v>
      </c>
      <c r="C134" s="24" t="s">
        <v>88</v>
      </c>
      <c r="D134" s="86" t="s">
        <v>88</v>
      </c>
      <c r="E134" s="84" t="s">
        <v>88</v>
      </c>
      <c r="F134" s="88" t="s">
        <v>88</v>
      </c>
      <c r="G134" s="91" t="s">
        <v>88</v>
      </c>
      <c r="H134" s="83" t="s">
        <v>88</v>
      </c>
      <c r="I134" s="88" t="s">
        <v>88</v>
      </c>
      <c r="J134" s="24" t="s">
        <v>88</v>
      </c>
      <c r="K134" s="24" t="s">
        <v>88</v>
      </c>
      <c r="L134" s="24" t="s">
        <v>88</v>
      </c>
      <c r="M134" s="24" t="s">
        <v>88</v>
      </c>
    </row>
    <row r="135" spans="1:13">
      <c r="A135" s="24" t="s">
        <v>88</v>
      </c>
      <c r="B135" s="24" t="s">
        <v>88</v>
      </c>
      <c r="C135" s="24" t="s">
        <v>88</v>
      </c>
      <c r="D135" s="86" t="s">
        <v>88</v>
      </c>
      <c r="E135" s="84" t="s">
        <v>88</v>
      </c>
      <c r="F135" s="88" t="s">
        <v>88</v>
      </c>
      <c r="G135" s="91" t="s">
        <v>88</v>
      </c>
      <c r="H135" s="83" t="s">
        <v>88</v>
      </c>
      <c r="I135" s="88" t="s">
        <v>88</v>
      </c>
      <c r="J135" s="24" t="s">
        <v>88</v>
      </c>
      <c r="K135" s="24" t="s">
        <v>88</v>
      </c>
      <c r="L135" s="24" t="s">
        <v>88</v>
      </c>
      <c r="M135" s="24" t="s">
        <v>88</v>
      </c>
    </row>
    <row r="136" spans="1:13">
      <c r="A136" s="24" t="s">
        <v>88</v>
      </c>
      <c r="B136" s="24" t="s">
        <v>88</v>
      </c>
      <c r="C136" s="24" t="s">
        <v>88</v>
      </c>
      <c r="D136" s="86" t="s">
        <v>88</v>
      </c>
      <c r="E136" s="84" t="s">
        <v>88</v>
      </c>
      <c r="F136" s="88" t="s">
        <v>88</v>
      </c>
      <c r="G136" s="91" t="s">
        <v>88</v>
      </c>
      <c r="H136" s="83" t="s">
        <v>88</v>
      </c>
      <c r="I136" s="88" t="s">
        <v>88</v>
      </c>
      <c r="J136" s="24" t="s">
        <v>88</v>
      </c>
      <c r="K136" s="24" t="s">
        <v>88</v>
      </c>
      <c r="L136" s="24" t="s">
        <v>88</v>
      </c>
      <c r="M136" s="24" t="s">
        <v>88</v>
      </c>
    </row>
    <row r="137" spans="1:13">
      <c r="A137" s="24" t="s">
        <v>88</v>
      </c>
      <c r="B137" s="24" t="s">
        <v>88</v>
      </c>
      <c r="C137" s="24" t="s">
        <v>88</v>
      </c>
      <c r="D137" s="86" t="s">
        <v>88</v>
      </c>
      <c r="E137" s="84" t="s">
        <v>88</v>
      </c>
      <c r="F137" s="88" t="s">
        <v>88</v>
      </c>
      <c r="G137" s="91" t="s">
        <v>88</v>
      </c>
      <c r="H137" s="83" t="s">
        <v>88</v>
      </c>
      <c r="I137" s="88" t="s">
        <v>88</v>
      </c>
      <c r="J137" s="24" t="s">
        <v>88</v>
      </c>
      <c r="K137" s="24" t="s">
        <v>88</v>
      </c>
      <c r="L137" s="24" t="s">
        <v>88</v>
      </c>
      <c r="M137" s="24" t="s">
        <v>88</v>
      </c>
    </row>
    <row r="138" spans="1:13">
      <c r="A138" s="24" t="s">
        <v>88</v>
      </c>
      <c r="B138" s="24" t="s">
        <v>88</v>
      </c>
      <c r="C138" s="24" t="s">
        <v>88</v>
      </c>
      <c r="D138" s="86" t="s">
        <v>88</v>
      </c>
      <c r="E138" s="84" t="s">
        <v>88</v>
      </c>
      <c r="F138" s="88" t="s">
        <v>88</v>
      </c>
      <c r="G138" s="91" t="s">
        <v>88</v>
      </c>
      <c r="H138" s="83" t="s">
        <v>88</v>
      </c>
      <c r="I138" s="88" t="s">
        <v>88</v>
      </c>
      <c r="J138" s="24" t="s">
        <v>88</v>
      </c>
      <c r="K138" s="24" t="s">
        <v>88</v>
      </c>
      <c r="L138" s="24" t="s">
        <v>88</v>
      </c>
      <c r="M138" s="24" t="s">
        <v>88</v>
      </c>
    </row>
    <row r="139" spans="1:13">
      <c r="A139" s="24" t="s">
        <v>88</v>
      </c>
      <c r="B139" s="24" t="s">
        <v>88</v>
      </c>
      <c r="C139" s="24" t="s">
        <v>88</v>
      </c>
      <c r="D139" s="86" t="s">
        <v>88</v>
      </c>
      <c r="E139" s="84" t="s">
        <v>88</v>
      </c>
      <c r="F139" s="88" t="s">
        <v>88</v>
      </c>
      <c r="G139" s="91" t="s">
        <v>88</v>
      </c>
      <c r="H139" s="83" t="s">
        <v>88</v>
      </c>
      <c r="I139" s="88" t="s">
        <v>88</v>
      </c>
      <c r="J139" s="24" t="s">
        <v>88</v>
      </c>
      <c r="K139" s="24" t="s">
        <v>88</v>
      </c>
      <c r="L139" s="24" t="s">
        <v>88</v>
      </c>
      <c r="M139" s="24" t="s">
        <v>88</v>
      </c>
    </row>
    <row r="140" spans="1:13">
      <c r="A140" s="24" t="s">
        <v>88</v>
      </c>
      <c r="B140" s="24" t="s">
        <v>88</v>
      </c>
      <c r="C140" s="24" t="s">
        <v>88</v>
      </c>
      <c r="D140" s="86" t="s">
        <v>88</v>
      </c>
      <c r="E140" s="84" t="s">
        <v>88</v>
      </c>
      <c r="F140" s="88" t="s">
        <v>88</v>
      </c>
      <c r="G140" s="91" t="s">
        <v>88</v>
      </c>
      <c r="H140" s="83" t="s">
        <v>88</v>
      </c>
      <c r="I140" s="88" t="s">
        <v>88</v>
      </c>
      <c r="J140" s="24" t="s">
        <v>88</v>
      </c>
      <c r="K140" s="24" t="s">
        <v>88</v>
      </c>
      <c r="L140" s="24" t="s">
        <v>88</v>
      </c>
      <c r="M140" s="24" t="s">
        <v>88</v>
      </c>
    </row>
    <row r="141" spans="1:13" hidden="1">
      <c r="A141" s="24" t="s">
        <v>88</v>
      </c>
      <c r="B141" s="24" t="s">
        <v>88</v>
      </c>
      <c r="C141" s="24" t="s">
        <v>88</v>
      </c>
      <c r="D141" s="86" t="s">
        <v>88</v>
      </c>
      <c r="E141" s="84" t="s">
        <v>88</v>
      </c>
      <c r="F141" s="88" t="s">
        <v>88</v>
      </c>
      <c r="G141" s="91" t="s">
        <v>88</v>
      </c>
      <c r="H141" s="83" t="s">
        <v>88</v>
      </c>
      <c r="I141" s="88" t="s">
        <v>88</v>
      </c>
      <c r="J141" s="24" t="s">
        <v>88</v>
      </c>
      <c r="K141" s="24" t="s">
        <v>88</v>
      </c>
      <c r="L141" s="24" t="s">
        <v>88</v>
      </c>
      <c r="M141" s="24" t="s">
        <v>88</v>
      </c>
    </row>
    <row r="142" spans="1:13" hidden="1">
      <c r="A142" s="24" t="s">
        <v>88</v>
      </c>
      <c r="B142" s="24" t="s">
        <v>88</v>
      </c>
      <c r="C142" s="24" t="s">
        <v>88</v>
      </c>
      <c r="D142" s="86" t="s">
        <v>88</v>
      </c>
      <c r="E142" s="84" t="s">
        <v>88</v>
      </c>
      <c r="F142" s="88" t="s">
        <v>88</v>
      </c>
      <c r="G142" s="91" t="s">
        <v>88</v>
      </c>
      <c r="H142" s="83" t="s">
        <v>88</v>
      </c>
      <c r="I142" s="88" t="s">
        <v>88</v>
      </c>
      <c r="J142" s="24" t="s">
        <v>88</v>
      </c>
      <c r="K142" s="24" t="s">
        <v>88</v>
      </c>
      <c r="L142" s="24" t="s">
        <v>88</v>
      </c>
      <c r="M142" s="24" t="s">
        <v>88</v>
      </c>
    </row>
    <row r="143" spans="1:13" hidden="1">
      <c r="A143" s="24" t="s">
        <v>88</v>
      </c>
      <c r="B143" s="24" t="s">
        <v>88</v>
      </c>
      <c r="C143" s="24" t="s">
        <v>88</v>
      </c>
      <c r="D143" s="86" t="s">
        <v>88</v>
      </c>
      <c r="E143" s="84" t="s">
        <v>88</v>
      </c>
      <c r="F143" s="88" t="s">
        <v>88</v>
      </c>
      <c r="G143" s="91" t="s">
        <v>88</v>
      </c>
      <c r="H143" s="83" t="s">
        <v>88</v>
      </c>
      <c r="I143" s="88" t="s">
        <v>88</v>
      </c>
      <c r="J143" s="24" t="s">
        <v>88</v>
      </c>
      <c r="K143" s="24" t="s">
        <v>88</v>
      </c>
      <c r="L143" s="24" t="s">
        <v>88</v>
      </c>
      <c r="M143" s="24" t="s">
        <v>88</v>
      </c>
    </row>
    <row r="144" spans="1:13" hidden="1">
      <c r="A144" s="24" t="s">
        <v>88</v>
      </c>
      <c r="B144" s="24" t="s">
        <v>88</v>
      </c>
      <c r="C144" s="24" t="s">
        <v>88</v>
      </c>
      <c r="D144" s="86" t="s">
        <v>88</v>
      </c>
      <c r="E144" s="84" t="s">
        <v>88</v>
      </c>
      <c r="F144" s="88" t="s">
        <v>88</v>
      </c>
      <c r="G144" s="91" t="s">
        <v>88</v>
      </c>
      <c r="H144" s="83" t="s">
        <v>88</v>
      </c>
      <c r="I144" s="88" t="s">
        <v>88</v>
      </c>
      <c r="J144" s="24" t="s">
        <v>88</v>
      </c>
      <c r="K144" s="24" t="s">
        <v>88</v>
      </c>
      <c r="L144" s="24" t="s">
        <v>88</v>
      </c>
      <c r="M144" s="24" t="s">
        <v>88</v>
      </c>
    </row>
    <row r="145" spans="1:13" hidden="1">
      <c r="A145" s="24" t="s">
        <v>88</v>
      </c>
      <c r="B145" s="24" t="s">
        <v>88</v>
      </c>
      <c r="C145" s="24" t="s">
        <v>88</v>
      </c>
      <c r="D145" s="86" t="s">
        <v>88</v>
      </c>
      <c r="E145" s="84" t="s">
        <v>88</v>
      </c>
      <c r="F145" s="88" t="s">
        <v>88</v>
      </c>
      <c r="G145" s="91" t="s">
        <v>88</v>
      </c>
      <c r="H145" s="83" t="s">
        <v>88</v>
      </c>
      <c r="I145" s="88" t="s">
        <v>88</v>
      </c>
      <c r="J145" s="24" t="s">
        <v>88</v>
      </c>
      <c r="K145" s="24" t="s">
        <v>88</v>
      </c>
      <c r="L145" s="24" t="s">
        <v>88</v>
      </c>
      <c r="M145" s="24" t="s">
        <v>88</v>
      </c>
    </row>
    <row r="146" spans="1:13" hidden="1">
      <c r="A146" s="24" t="s">
        <v>88</v>
      </c>
      <c r="B146" s="24" t="s">
        <v>88</v>
      </c>
      <c r="C146" s="24" t="s">
        <v>88</v>
      </c>
      <c r="D146" s="86" t="s">
        <v>88</v>
      </c>
      <c r="E146" s="84" t="s">
        <v>88</v>
      </c>
      <c r="F146" s="88" t="s">
        <v>88</v>
      </c>
      <c r="G146" s="91" t="s">
        <v>88</v>
      </c>
      <c r="H146" s="83" t="s">
        <v>88</v>
      </c>
      <c r="I146" s="88" t="s">
        <v>88</v>
      </c>
      <c r="J146" s="24" t="s">
        <v>88</v>
      </c>
      <c r="K146" s="24" t="s">
        <v>88</v>
      </c>
      <c r="L146" s="24" t="s">
        <v>88</v>
      </c>
      <c r="M146" s="24" t="s">
        <v>88</v>
      </c>
    </row>
    <row r="147" spans="1:13" hidden="1">
      <c r="A147" s="24" t="s">
        <v>88</v>
      </c>
      <c r="B147" s="24" t="s">
        <v>88</v>
      </c>
      <c r="C147" s="24" t="s">
        <v>88</v>
      </c>
      <c r="D147" s="86" t="s">
        <v>88</v>
      </c>
      <c r="E147" s="84" t="s">
        <v>88</v>
      </c>
      <c r="F147" s="88" t="s">
        <v>88</v>
      </c>
      <c r="G147" s="91" t="s">
        <v>88</v>
      </c>
      <c r="H147" s="83" t="s">
        <v>88</v>
      </c>
      <c r="I147" s="88" t="s">
        <v>88</v>
      </c>
      <c r="J147" s="24" t="s">
        <v>88</v>
      </c>
      <c r="K147" s="24" t="s">
        <v>88</v>
      </c>
      <c r="L147" s="24" t="s">
        <v>88</v>
      </c>
      <c r="M147" s="24" t="s">
        <v>88</v>
      </c>
    </row>
    <row r="148" spans="1:13" hidden="1">
      <c r="A148" s="24" t="s">
        <v>88</v>
      </c>
      <c r="B148" s="24" t="s">
        <v>88</v>
      </c>
      <c r="C148" s="24" t="s">
        <v>88</v>
      </c>
      <c r="D148" s="86" t="s">
        <v>88</v>
      </c>
      <c r="E148" s="84" t="s">
        <v>88</v>
      </c>
      <c r="F148" s="88" t="s">
        <v>88</v>
      </c>
      <c r="G148" s="91" t="s">
        <v>88</v>
      </c>
      <c r="H148" s="83" t="s">
        <v>88</v>
      </c>
      <c r="I148" s="88" t="s">
        <v>88</v>
      </c>
      <c r="J148" s="24" t="s">
        <v>88</v>
      </c>
      <c r="K148" s="24" t="s">
        <v>88</v>
      </c>
      <c r="L148" s="24" t="s">
        <v>88</v>
      </c>
      <c r="M148" s="24" t="s">
        <v>88</v>
      </c>
    </row>
    <row r="149" spans="1:13" hidden="1">
      <c r="A149" s="24" t="s">
        <v>88</v>
      </c>
      <c r="B149" s="24" t="s">
        <v>88</v>
      </c>
      <c r="C149" s="24" t="s">
        <v>88</v>
      </c>
      <c r="D149" s="86" t="s">
        <v>88</v>
      </c>
      <c r="E149" s="84" t="s">
        <v>88</v>
      </c>
      <c r="F149" s="88" t="s">
        <v>88</v>
      </c>
      <c r="G149" s="91" t="s">
        <v>88</v>
      </c>
      <c r="H149" s="83" t="s">
        <v>88</v>
      </c>
      <c r="I149" s="88" t="s">
        <v>88</v>
      </c>
      <c r="J149" s="24" t="s">
        <v>88</v>
      </c>
      <c r="K149" s="24" t="s">
        <v>88</v>
      </c>
      <c r="L149" s="24" t="s">
        <v>88</v>
      </c>
      <c r="M149" s="24" t="s">
        <v>88</v>
      </c>
    </row>
    <row r="150" spans="1:13" hidden="1">
      <c r="A150" s="24" t="s">
        <v>88</v>
      </c>
      <c r="B150" s="24" t="s">
        <v>88</v>
      </c>
      <c r="C150" s="24" t="s">
        <v>88</v>
      </c>
      <c r="D150" s="86" t="s">
        <v>88</v>
      </c>
      <c r="E150" s="84" t="s">
        <v>88</v>
      </c>
      <c r="F150" s="88" t="s">
        <v>88</v>
      </c>
      <c r="G150" s="91" t="s">
        <v>88</v>
      </c>
      <c r="H150" s="83" t="s">
        <v>88</v>
      </c>
      <c r="I150" s="88" t="s">
        <v>88</v>
      </c>
      <c r="J150" s="24" t="s">
        <v>88</v>
      </c>
      <c r="K150" s="24" t="s">
        <v>88</v>
      </c>
      <c r="L150" s="24" t="s">
        <v>88</v>
      </c>
      <c r="M150" s="24" t="s">
        <v>88</v>
      </c>
    </row>
    <row r="151" spans="1:13" hidden="1">
      <c r="A151" s="24" t="s">
        <v>88</v>
      </c>
      <c r="B151" s="24" t="s">
        <v>88</v>
      </c>
      <c r="C151" s="24" t="s">
        <v>88</v>
      </c>
      <c r="D151" s="86" t="s">
        <v>88</v>
      </c>
      <c r="E151" s="84" t="s">
        <v>88</v>
      </c>
      <c r="F151" s="88" t="s">
        <v>88</v>
      </c>
      <c r="G151" s="91" t="s">
        <v>88</v>
      </c>
      <c r="H151" s="83" t="s">
        <v>88</v>
      </c>
      <c r="I151" s="88" t="s">
        <v>88</v>
      </c>
      <c r="J151" s="24" t="s">
        <v>88</v>
      </c>
      <c r="K151" s="24" t="s">
        <v>88</v>
      </c>
      <c r="L151" s="24" t="s">
        <v>88</v>
      </c>
      <c r="M151" s="24" t="s">
        <v>88</v>
      </c>
    </row>
    <row r="152" spans="1:13" hidden="1">
      <c r="A152" s="24" t="s">
        <v>88</v>
      </c>
      <c r="B152" s="24" t="s">
        <v>88</v>
      </c>
      <c r="C152" s="24" t="s">
        <v>88</v>
      </c>
      <c r="D152" s="86" t="s">
        <v>88</v>
      </c>
      <c r="E152" s="84" t="s">
        <v>88</v>
      </c>
      <c r="F152" s="88" t="s">
        <v>88</v>
      </c>
      <c r="G152" s="91" t="s">
        <v>88</v>
      </c>
      <c r="H152" s="83" t="s">
        <v>88</v>
      </c>
      <c r="I152" s="88" t="s">
        <v>88</v>
      </c>
      <c r="J152" s="24" t="s">
        <v>88</v>
      </c>
      <c r="K152" s="24" t="s">
        <v>88</v>
      </c>
      <c r="L152" s="24" t="s">
        <v>88</v>
      </c>
      <c r="M152" s="24" t="s">
        <v>88</v>
      </c>
    </row>
    <row r="153" spans="1:13" hidden="1">
      <c r="A153" s="24" t="s">
        <v>88</v>
      </c>
      <c r="B153" s="24" t="s">
        <v>88</v>
      </c>
      <c r="C153" s="24" t="s">
        <v>88</v>
      </c>
      <c r="D153" s="86" t="s">
        <v>88</v>
      </c>
      <c r="E153" s="84" t="s">
        <v>88</v>
      </c>
      <c r="F153" s="88" t="s">
        <v>88</v>
      </c>
      <c r="G153" s="91" t="s">
        <v>88</v>
      </c>
      <c r="H153" s="83" t="s">
        <v>88</v>
      </c>
      <c r="I153" s="88" t="s">
        <v>88</v>
      </c>
      <c r="J153" s="24" t="s">
        <v>88</v>
      </c>
      <c r="K153" s="24" t="s">
        <v>88</v>
      </c>
      <c r="L153" s="24" t="s">
        <v>88</v>
      </c>
      <c r="M153" s="24" t="s">
        <v>88</v>
      </c>
    </row>
    <row r="154" spans="1:13" hidden="1">
      <c r="A154" s="24" t="s">
        <v>88</v>
      </c>
      <c r="B154" s="24" t="s">
        <v>88</v>
      </c>
      <c r="C154" s="24" t="s">
        <v>88</v>
      </c>
      <c r="D154" s="86" t="s">
        <v>88</v>
      </c>
      <c r="E154" s="84" t="s">
        <v>88</v>
      </c>
      <c r="F154" s="88" t="s">
        <v>88</v>
      </c>
      <c r="G154" s="91" t="s">
        <v>88</v>
      </c>
      <c r="H154" s="83" t="s">
        <v>88</v>
      </c>
      <c r="I154" s="88" t="s">
        <v>88</v>
      </c>
      <c r="J154" s="24" t="s">
        <v>88</v>
      </c>
      <c r="K154" s="24" t="s">
        <v>88</v>
      </c>
      <c r="L154" s="24" t="s">
        <v>88</v>
      </c>
      <c r="M154" s="24" t="s">
        <v>88</v>
      </c>
    </row>
    <row r="155" spans="1:13" hidden="1">
      <c r="A155" s="24" t="s">
        <v>88</v>
      </c>
      <c r="B155" s="24" t="s">
        <v>88</v>
      </c>
      <c r="C155" s="24" t="s">
        <v>88</v>
      </c>
      <c r="D155" s="86" t="s">
        <v>88</v>
      </c>
      <c r="E155" s="84" t="s">
        <v>88</v>
      </c>
      <c r="F155" s="88" t="s">
        <v>88</v>
      </c>
      <c r="G155" s="91" t="s">
        <v>88</v>
      </c>
      <c r="H155" s="83" t="s">
        <v>88</v>
      </c>
      <c r="I155" s="88" t="s">
        <v>88</v>
      </c>
      <c r="J155" s="24" t="s">
        <v>88</v>
      </c>
      <c r="K155" s="24" t="s">
        <v>88</v>
      </c>
      <c r="L155" s="24" t="s">
        <v>88</v>
      </c>
      <c r="M155" s="24" t="s">
        <v>88</v>
      </c>
    </row>
    <row r="156" spans="1:13" hidden="1">
      <c r="A156" s="24" t="s">
        <v>88</v>
      </c>
      <c r="B156" s="24" t="s">
        <v>88</v>
      </c>
      <c r="C156" s="24" t="s">
        <v>88</v>
      </c>
      <c r="D156" s="86" t="s">
        <v>88</v>
      </c>
      <c r="E156" s="84" t="s">
        <v>88</v>
      </c>
      <c r="F156" s="88" t="s">
        <v>88</v>
      </c>
      <c r="G156" s="91" t="s">
        <v>88</v>
      </c>
      <c r="H156" s="83" t="s">
        <v>88</v>
      </c>
      <c r="I156" s="88" t="s">
        <v>88</v>
      </c>
      <c r="J156" s="24" t="s">
        <v>88</v>
      </c>
      <c r="K156" s="24" t="s">
        <v>88</v>
      </c>
      <c r="L156" s="24" t="s">
        <v>88</v>
      </c>
      <c r="M156" s="24" t="s">
        <v>88</v>
      </c>
    </row>
    <row r="157" spans="1:13" hidden="1">
      <c r="A157" s="24" t="s">
        <v>88</v>
      </c>
      <c r="B157" s="24" t="s">
        <v>88</v>
      </c>
      <c r="C157" s="24" t="s">
        <v>88</v>
      </c>
      <c r="D157" s="86" t="s">
        <v>88</v>
      </c>
      <c r="E157" s="84" t="s">
        <v>88</v>
      </c>
      <c r="F157" s="88" t="s">
        <v>88</v>
      </c>
      <c r="G157" s="91" t="s">
        <v>88</v>
      </c>
      <c r="H157" s="83" t="s">
        <v>88</v>
      </c>
      <c r="I157" s="88" t="s">
        <v>88</v>
      </c>
      <c r="J157" s="24" t="s">
        <v>88</v>
      </c>
      <c r="K157" s="24" t="s">
        <v>88</v>
      </c>
      <c r="L157" s="24" t="s">
        <v>88</v>
      </c>
      <c r="M157" s="24" t="s">
        <v>88</v>
      </c>
    </row>
    <row r="158" spans="1:13" hidden="1">
      <c r="A158" s="24" t="s">
        <v>88</v>
      </c>
      <c r="B158" s="24" t="s">
        <v>88</v>
      </c>
      <c r="C158" s="24" t="s">
        <v>88</v>
      </c>
      <c r="D158" s="86" t="s">
        <v>88</v>
      </c>
      <c r="E158" s="84" t="s">
        <v>88</v>
      </c>
      <c r="F158" s="88" t="s">
        <v>88</v>
      </c>
      <c r="G158" s="91" t="s">
        <v>88</v>
      </c>
      <c r="H158" s="83" t="s">
        <v>88</v>
      </c>
      <c r="I158" s="88" t="s">
        <v>88</v>
      </c>
      <c r="J158" s="24" t="s">
        <v>88</v>
      </c>
      <c r="K158" s="24" t="s">
        <v>88</v>
      </c>
      <c r="L158" s="24" t="s">
        <v>88</v>
      </c>
      <c r="M158" s="24" t="s">
        <v>88</v>
      </c>
    </row>
    <row r="159" spans="1:13" hidden="1">
      <c r="A159" s="24" t="s">
        <v>88</v>
      </c>
      <c r="B159" s="24" t="s">
        <v>88</v>
      </c>
      <c r="C159" s="24" t="s">
        <v>88</v>
      </c>
      <c r="D159" s="86" t="s">
        <v>88</v>
      </c>
      <c r="E159" s="84" t="s">
        <v>88</v>
      </c>
      <c r="F159" s="88" t="s">
        <v>88</v>
      </c>
      <c r="G159" s="91" t="s">
        <v>88</v>
      </c>
      <c r="H159" s="83" t="s">
        <v>88</v>
      </c>
      <c r="I159" s="88" t="s">
        <v>88</v>
      </c>
      <c r="J159" s="24" t="s">
        <v>88</v>
      </c>
      <c r="K159" s="24" t="s">
        <v>88</v>
      </c>
      <c r="L159" s="24" t="s">
        <v>88</v>
      </c>
      <c r="M159" s="24" t="s">
        <v>88</v>
      </c>
    </row>
    <row r="160" spans="1:13" hidden="1">
      <c r="A160" s="24" t="s">
        <v>88</v>
      </c>
      <c r="B160" s="24" t="s">
        <v>88</v>
      </c>
      <c r="C160" s="24" t="s">
        <v>88</v>
      </c>
      <c r="D160" s="86" t="s">
        <v>88</v>
      </c>
      <c r="E160" s="84" t="s">
        <v>88</v>
      </c>
      <c r="F160" s="88" t="s">
        <v>88</v>
      </c>
      <c r="G160" s="91" t="s">
        <v>88</v>
      </c>
      <c r="H160" s="83" t="s">
        <v>88</v>
      </c>
      <c r="I160" s="88" t="s">
        <v>88</v>
      </c>
      <c r="J160" s="24" t="s">
        <v>88</v>
      </c>
      <c r="K160" s="24" t="s">
        <v>88</v>
      </c>
      <c r="L160" s="24" t="s">
        <v>88</v>
      </c>
      <c r="M160" s="24" t="s">
        <v>88</v>
      </c>
    </row>
    <row r="161" spans="1:13" hidden="1">
      <c r="A161" s="24" t="s">
        <v>88</v>
      </c>
      <c r="B161" s="24" t="s">
        <v>88</v>
      </c>
      <c r="C161" s="24" t="s">
        <v>88</v>
      </c>
      <c r="D161" s="86" t="s">
        <v>88</v>
      </c>
      <c r="E161" s="84" t="s">
        <v>88</v>
      </c>
      <c r="F161" s="88" t="s">
        <v>88</v>
      </c>
      <c r="G161" s="91" t="s">
        <v>88</v>
      </c>
      <c r="H161" s="83" t="s">
        <v>88</v>
      </c>
      <c r="I161" s="88" t="s">
        <v>88</v>
      </c>
      <c r="J161" s="24" t="s">
        <v>88</v>
      </c>
      <c r="K161" s="24" t="s">
        <v>88</v>
      </c>
      <c r="L161" s="24" t="s">
        <v>88</v>
      </c>
      <c r="M161" s="24" t="s">
        <v>88</v>
      </c>
    </row>
    <row r="162" spans="1:13" hidden="1">
      <c r="A162" s="24" t="s">
        <v>88</v>
      </c>
      <c r="B162" s="24" t="s">
        <v>88</v>
      </c>
      <c r="C162" s="24" t="s">
        <v>88</v>
      </c>
      <c r="D162" s="86" t="s">
        <v>88</v>
      </c>
      <c r="E162" s="84" t="s">
        <v>88</v>
      </c>
      <c r="F162" s="88" t="s">
        <v>88</v>
      </c>
      <c r="G162" s="91" t="s">
        <v>88</v>
      </c>
      <c r="H162" s="83" t="s">
        <v>88</v>
      </c>
      <c r="I162" s="88" t="s">
        <v>88</v>
      </c>
      <c r="J162" s="24" t="s">
        <v>88</v>
      </c>
      <c r="K162" s="24" t="s">
        <v>88</v>
      </c>
      <c r="L162" s="24" t="s">
        <v>88</v>
      </c>
      <c r="M162" s="24" t="s">
        <v>88</v>
      </c>
    </row>
    <row r="163" spans="1:13" hidden="1">
      <c r="A163" s="24" t="s">
        <v>88</v>
      </c>
      <c r="B163" s="24" t="s">
        <v>88</v>
      </c>
      <c r="C163" s="24" t="s">
        <v>88</v>
      </c>
      <c r="D163" s="86" t="s">
        <v>88</v>
      </c>
      <c r="E163" s="84" t="s">
        <v>88</v>
      </c>
      <c r="F163" s="88" t="s">
        <v>88</v>
      </c>
      <c r="G163" s="91" t="s">
        <v>88</v>
      </c>
      <c r="H163" s="83" t="s">
        <v>88</v>
      </c>
      <c r="I163" s="88" t="s">
        <v>88</v>
      </c>
      <c r="J163" s="24" t="s">
        <v>88</v>
      </c>
      <c r="K163" s="24" t="s">
        <v>88</v>
      </c>
      <c r="L163" s="24" t="s">
        <v>88</v>
      </c>
      <c r="M163" s="24" t="s">
        <v>88</v>
      </c>
    </row>
    <row r="164" spans="1:13" hidden="1">
      <c r="A164" s="24" t="s">
        <v>88</v>
      </c>
      <c r="B164" s="24" t="s">
        <v>88</v>
      </c>
      <c r="C164" s="24" t="s">
        <v>88</v>
      </c>
      <c r="D164" s="86" t="s">
        <v>88</v>
      </c>
      <c r="E164" s="84" t="s">
        <v>88</v>
      </c>
      <c r="F164" s="88" t="s">
        <v>88</v>
      </c>
      <c r="G164" s="91" t="s">
        <v>88</v>
      </c>
      <c r="H164" s="83" t="s">
        <v>88</v>
      </c>
      <c r="I164" s="88" t="s">
        <v>88</v>
      </c>
      <c r="J164" s="24" t="s">
        <v>88</v>
      </c>
      <c r="K164" s="24" t="s">
        <v>88</v>
      </c>
      <c r="L164" s="24" t="s">
        <v>88</v>
      </c>
      <c r="M164" s="24" t="s">
        <v>88</v>
      </c>
    </row>
    <row r="165" spans="1:13" hidden="1">
      <c r="A165" s="24" t="s">
        <v>88</v>
      </c>
      <c r="B165" s="24" t="s">
        <v>88</v>
      </c>
      <c r="C165" s="24" t="s">
        <v>88</v>
      </c>
      <c r="D165" s="86" t="s">
        <v>88</v>
      </c>
      <c r="E165" s="84" t="s">
        <v>88</v>
      </c>
      <c r="F165" s="88" t="s">
        <v>88</v>
      </c>
      <c r="G165" s="91" t="s">
        <v>88</v>
      </c>
      <c r="H165" s="83" t="s">
        <v>88</v>
      </c>
      <c r="I165" s="88" t="s">
        <v>88</v>
      </c>
      <c r="J165" s="24" t="s">
        <v>88</v>
      </c>
      <c r="K165" s="24" t="s">
        <v>88</v>
      </c>
      <c r="L165" s="24" t="s">
        <v>88</v>
      </c>
      <c r="M165" s="24" t="s">
        <v>88</v>
      </c>
    </row>
    <row r="166" spans="1:13" hidden="1">
      <c r="A166" s="24" t="s">
        <v>88</v>
      </c>
      <c r="B166" s="24" t="s">
        <v>88</v>
      </c>
      <c r="C166" s="24" t="s">
        <v>88</v>
      </c>
      <c r="D166" s="86" t="s">
        <v>88</v>
      </c>
      <c r="E166" s="84" t="s">
        <v>88</v>
      </c>
      <c r="F166" s="88" t="s">
        <v>88</v>
      </c>
      <c r="G166" s="91" t="s">
        <v>88</v>
      </c>
      <c r="H166" s="83" t="s">
        <v>88</v>
      </c>
      <c r="I166" s="88" t="s">
        <v>88</v>
      </c>
      <c r="J166" s="24" t="s">
        <v>88</v>
      </c>
      <c r="K166" s="24" t="s">
        <v>88</v>
      </c>
      <c r="L166" s="24" t="s">
        <v>88</v>
      </c>
      <c r="M166" s="24" t="s">
        <v>88</v>
      </c>
    </row>
    <row r="167" spans="1:13" hidden="1">
      <c r="A167" s="24" t="s">
        <v>88</v>
      </c>
      <c r="B167" s="24" t="s">
        <v>88</v>
      </c>
      <c r="C167" s="24" t="s">
        <v>88</v>
      </c>
      <c r="D167" s="86" t="s">
        <v>88</v>
      </c>
      <c r="E167" s="84" t="s">
        <v>88</v>
      </c>
      <c r="F167" s="88" t="s">
        <v>88</v>
      </c>
      <c r="G167" s="91" t="s">
        <v>88</v>
      </c>
      <c r="H167" s="83" t="s">
        <v>88</v>
      </c>
      <c r="I167" s="88" t="s">
        <v>88</v>
      </c>
      <c r="J167" s="24" t="s">
        <v>88</v>
      </c>
      <c r="K167" s="24" t="s">
        <v>88</v>
      </c>
      <c r="L167" s="24" t="s">
        <v>88</v>
      </c>
      <c r="M167" s="24" t="s">
        <v>88</v>
      </c>
    </row>
    <row r="168" spans="1:13" hidden="1">
      <c r="A168" s="24" t="s">
        <v>88</v>
      </c>
      <c r="B168" s="24" t="s">
        <v>88</v>
      </c>
      <c r="C168" s="24" t="s">
        <v>88</v>
      </c>
      <c r="D168" s="86" t="s">
        <v>88</v>
      </c>
      <c r="E168" s="84" t="s">
        <v>88</v>
      </c>
      <c r="F168" s="88" t="s">
        <v>88</v>
      </c>
      <c r="G168" s="91" t="s">
        <v>88</v>
      </c>
      <c r="H168" s="83" t="s">
        <v>88</v>
      </c>
      <c r="I168" s="88" t="s">
        <v>88</v>
      </c>
      <c r="J168" s="24" t="s">
        <v>88</v>
      </c>
      <c r="K168" s="24" t="s">
        <v>88</v>
      </c>
      <c r="L168" s="24" t="s">
        <v>88</v>
      </c>
      <c r="M168" s="24" t="s">
        <v>88</v>
      </c>
    </row>
    <row r="169" spans="1:13" hidden="1">
      <c r="A169" s="24" t="s">
        <v>88</v>
      </c>
      <c r="B169" s="24" t="s">
        <v>88</v>
      </c>
      <c r="C169" s="24" t="s">
        <v>88</v>
      </c>
      <c r="D169" s="86" t="s">
        <v>88</v>
      </c>
      <c r="E169" s="84" t="s">
        <v>88</v>
      </c>
      <c r="F169" s="88" t="s">
        <v>88</v>
      </c>
      <c r="G169" s="91" t="s">
        <v>88</v>
      </c>
      <c r="H169" s="83" t="s">
        <v>88</v>
      </c>
      <c r="I169" s="88" t="s">
        <v>88</v>
      </c>
      <c r="J169" s="24" t="s">
        <v>88</v>
      </c>
      <c r="K169" s="24" t="s">
        <v>88</v>
      </c>
      <c r="L169" s="24" t="s">
        <v>88</v>
      </c>
      <c r="M169" s="24" t="s">
        <v>88</v>
      </c>
    </row>
    <row r="170" spans="1:13" hidden="1">
      <c r="A170" s="24" t="s">
        <v>88</v>
      </c>
      <c r="B170" s="24" t="s">
        <v>88</v>
      </c>
      <c r="C170" s="24" t="s">
        <v>88</v>
      </c>
      <c r="D170" s="86" t="s">
        <v>88</v>
      </c>
      <c r="E170" s="84" t="s">
        <v>88</v>
      </c>
      <c r="F170" s="88" t="s">
        <v>88</v>
      </c>
      <c r="G170" s="91" t="s">
        <v>88</v>
      </c>
      <c r="H170" s="83" t="s">
        <v>88</v>
      </c>
      <c r="I170" s="88" t="s">
        <v>88</v>
      </c>
      <c r="J170" s="24" t="s">
        <v>88</v>
      </c>
      <c r="K170" s="24" t="s">
        <v>88</v>
      </c>
      <c r="L170" s="24" t="s">
        <v>88</v>
      </c>
      <c r="M170" s="24" t="s">
        <v>88</v>
      </c>
    </row>
    <row r="171" spans="1:13" hidden="1">
      <c r="A171" s="24" t="s">
        <v>88</v>
      </c>
      <c r="B171" s="24" t="s">
        <v>88</v>
      </c>
      <c r="C171" s="24" t="s">
        <v>88</v>
      </c>
      <c r="D171" s="86" t="s">
        <v>88</v>
      </c>
      <c r="E171" s="84" t="s">
        <v>88</v>
      </c>
      <c r="F171" s="88" t="s">
        <v>88</v>
      </c>
      <c r="G171" s="91" t="s">
        <v>88</v>
      </c>
      <c r="H171" s="83" t="s">
        <v>88</v>
      </c>
      <c r="I171" s="88" t="s">
        <v>88</v>
      </c>
      <c r="J171" s="24" t="s">
        <v>88</v>
      </c>
      <c r="K171" s="24" t="s">
        <v>88</v>
      </c>
      <c r="L171" s="24" t="s">
        <v>88</v>
      </c>
      <c r="M171" s="24" t="s">
        <v>88</v>
      </c>
    </row>
    <row r="172" spans="1:13" hidden="1">
      <c r="A172" s="24" t="s">
        <v>88</v>
      </c>
      <c r="B172" s="24" t="s">
        <v>88</v>
      </c>
      <c r="C172" s="24" t="s">
        <v>88</v>
      </c>
      <c r="D172" s="86" t="s">
        <v>88</v>
      </c>
      <c r="E172" s="84" t="s">
        <v>88</v>
      </c>
      <c r="F172" s="88" t="s">
        <v>88</v>
      </c>
      <c r="G172" s="91" t="s">
        <v>88</v>
      </c>
      <c r="H172" s="83" t="s">
        <v>88</v>
      </c>
      <c r="I172" s="88" t="s">
        <v>88</v>
      </c>
      <c r="J172" s="24" t="s">
        <v>88</v>
      </c>
      <c r="K172" s="24" t="s">
        <v>88</v>
      </c>
      <c r="L172" s="24" t="s">
        <v>88</v>
      </c>
      <c r="M172" s="24" t="s">
        <v>88</v>
      </c>
    </row>
    <row r="173" spans="1:13" hidden="1">
      <c r="A173" s="24" t="s">
        <v>88</v>
      </c>
      <c r="B173" s="24" t="s">
        <v>88</v>
      </c>
      <c r="C173" s="24" t="s">
        <v>88</v>
      </c>
      <c r="D173" s="86" t="s">
        <v>88</v>
      </c>
      <c r="E173" s="84" t="s">
        <v>88</v>
      </c>
      <c r="F173" s="88" t="s">
        <v>88</v>
      </c>
      <c r="G173" s="91" t="s">
        <v>88</v>
      </c>
      <c r="H173" s="83" t="s">
        <v>88</v>
      </c>
      <c r="I173" s="88" t="s">
        <v>88</v>
      </c>
      <c r="J173" s="24" t="s">
        <v>88</v>
      </c>
      <c r="K173" s="24" t="s">
        <v>88</v>
      </c>
      <c r="L173" s="24" t="s">
        <v>88</v>
      </c>
      <c r="M173" s="24" t="s">
        <v>88</v>
      </c>
    </row>
    <row r="174" spans="1:13" hidden="1">
      <c r="A174" s="24" t="s">
        <v>88</v>
      </c>
      <c r="B174" s="24" t="s">
        <v>88</v>
      </c>
      <c r="C174" s="24" t="s">
        <v>88</v>
      </c>
      <c r="D174" s="86" t="s">
        <v>88</v>
      </c>
      <c r="E174" s="84" t="s">
        <v>88</v>
      </c>
      <c r="F174" s="88" t="s">
        <v>88</v>
      </c>
      <c r="G174" s="91" t="s">
        <v>88</v>
      </c>
      <c r="H174" s="83" t="s">
        <v>88</v>
      </c>
      <c r="I174" s="88" t="s">
        <v>88</v>
      </c>
      <c r="J174" s="24" t="s">
        <v>88</v>
      </c>
      <c r="K174" s="24" t="s">
        <v>88</v>
      </c>
      <c r="L174" s="24" t="s">
        <v>88</v>
      </c>
      <c r="M174" s="24" t="s">
        <v>88</v>
      </c>
    </row>
    <row r="175" spans="1:13" hidden="1">
      <c r="A175" s="24" t="s">
        <v>88</v>
      </c>
      <c r="B175" s="24" t="s">
        <v>88</v>
      </c>
      <c r="C175" s="24" t="s">
        <v>88</v>
      </c>
      <c r="D175" s="86" t="s">
        <v>88</v>
      </c>
      <c r="E175" s="84" t="s">
        <v>88</v>
      </c>
      <c r="F175" s="88" t="s">
        <v>88</v>
      </c>
      <c r="G175" s="91" t="s">
        <v>88</v>
      </c>
      <c r="H175" s="83" t="s">
        <v>88</v>
      </c>
      <c r="I175" s="88" t="s">
        <v>88</v>
      </c>
      <c r="J175" s="24" t="s">
        <v>88</v>
      </c>
      <c r="K175" s="24" t="s">
        <v>88</v>
      </c>
      <c r="L175" s="24" t="s">
        <v>88</v>
      </c>
      <c r="M175" s="24" t="s">
        <v>88</v>
      </c>
    </row>
    <row r="176" spans="1:13" hidden="1">
      <c r="A176" s="24" t="s">
        <v>88</v>
      </c>
      <c r="B176" s="24" t="s">
        <v>88</v>
      </c>
      <c r="C176" s="24" t="s">
        <v>88</v>
      </c>
      <c r="D176" s="86" t="s">
        <v>88</v>
      </c>
      <c r="E176" s="84" t="s">
        <v>88</v>
      </c>
      <c r="F176" s="88" t="s">
        <v>88</v>
      </c>
      <c r="G176" s="91" t="s">
        <v>88</v>
      </c>
      <c r="H176" s="83" t="s">
        <v>88</v>
      </c>
      <c r="I176" s="88" t="s">
        <v>88</v>
      </c>
      <c r="J176" s="24" t="s">
        <v>88</v>
      </c>
      <c r="K176" s="24" t="s">
        <v>88</v>
      </c>
      <c r="L176" s="24" t="s">
        <v>88</v>
      </c>
      <c r="M176" s="24" t="s">
        <v>88</v>
      </c>
    </row>
    <row r="177" spans="1:13" hidden="1">
      <c r="A177" s="24" t="s">
        <v>88</v>
      </c>
      <c r="B177" s="24" t="s">
        <v>88</v>
      </c>
      <c r="C177" s="24" t="s">
        <v>88</v>
      </c>
      <c r="D177" s="86" t="s">
        <v>88</v>
      </c>
      <c r="E177" s="84" t="s">
        <v>88</v>
      </c>
      <c r="F177" s="88" t="s">
        <v>88</v>
      </c>
      <c r="G177" s="91" t="s">
        <v>88</v>
      </c>
      <c r="H177" s="83" t="s">
        <v>88</v>
      </c>
      <c r="I177" s="88" t="s">
        <v>88</v>
      </c>
      <c r="J177" s="24" t="s">
        <v>88</v>
      </c>
      <c r="K177" s="24" t="s">
        <v>88</v>
      </c>
      <c r="L177" s="24" t="s">
        <v>88</v>
      </c>
      <c r="M177" s="24" t="s">
        <v>88</v>
      </c>
    </row>
    <row r="178" spans="1:13" hidden="1">
      <c r="A178" s="24" t="s">
        <v>88</v>
      </c>
      <c r="B178" s="24" t="s">
        <v>88</v>
      </c>
      <c r="C178" s="24" t="s">
        <v>88</v>
      </c>
      <c r="D178" s="86" t="s">
        <v>88</v>
      </c>
      <c r="E178" s="84" t="s">
        <v>88</v>
      </c>
      <c r="F178" s="88" t="s">
        <v>88</v>
      </c>
      <c r="G178" s="91" t="s">
        <v>88</v>
      </c>
      <c r="H178" s="83" t="s">
        <v>88</v>
      </c>
      <c r="I178" s="88" t="s">
        <v>88</v>
      </c>
      <c r="J178" s="24" t="s">
        <v>88</v>
      </c>
      <c r="K178" s="24" t="s">
        <v>88</v>
      </c>
      <c r="L178" s="24" t="s">
        <v>88</v>
      </c>
      <c r="M178" s="24" t="s">
        <v>88</v>
      </c>
    </row>
    <row r="179" spans="1:13" hidden="1">
      <c r="A179" s="24" t="s">
        <v>88</v>
      </c>
      <c r="B179" s="24" t="s">
        <v>88</v>
      </c>
      <c r="C179" s="24" t="s">
        <v>88</v>
      </c>
      <c r="D179" s="86" t="s">
        <v>88</v>
      </c>
      <c r="E179" s="84" t="s">
        <v>88</v>
      </c>
      <c r="F179" s="88" t="s">
        <v>88</v>
      </c>
      <c r="G179" s="91" t="s">
        <v>88</v>
      </c>
      <c r="H179" s="83" t="s">
        <v>88</v>
      </c>
      <c r="I179" s="88" t="s">
        <v>88</v>
      </c>
      <c r="J179" s="24" t="s">
        <v>88</v>
      </c>
      <c r="K179" s="24" t="s">
        <v>88</v>
      </c>
      <c r="L179" s="24" t="s">
        <v>88</v>
      </c>
      <c r="M179" s="24" t="s">
        <v>88</v>
      </c>
    </row>
    <row r="180" spans="1:13" hidden="1">
      <c r="A180" s="24" t="s">
        <v>88</v>
      </c>
      <c r="B180" s="24" t="s">
        <v>88</v>
      </c>
      <c r="C180" s="24" t="s">
        <v>88</v>
      </c>
      <c r="D180" s="86" t="s">
        <v>88</v>
      </c>
      <c r="E180" s="84" t="s">
        <v>88</v>
      </c>
      <c r="F180" s="88" t="s">
        <v>88</v>
      </c>
      <c r="G180" s="91" t="s">
        <v>88</v>
      </c>
      <c r="H180" s="83" t="s">
        <v>88</v>
      </c>
      <c r="I180" s="88" t="s">
        <v>88</v>
      </c>
      <c r="J180" s="24" t="s">
        <v>88</v>
      </c>
      <c r="K180" s="24" t="s">
        <v>88</v>
      </c>
      <c r="L180" s="24" t="s">
        <v>88</v>
      </c>
      <c r="M180" s="24" t="s">
        <v>88</v>
      </c>
    </row>
    <row r="181" spans="1:13" hidden="1">
      <c r="A181" s="24" t="s">
        <v>88</v>
      </c>
      <c r="B181" s="24" t="s">
        <v>88</v>
      </c>
      <c r="C181" s="24" t="s">
        <v>88</v>
      </c>
      <c r="D181" s="86" t="s">
        <v>88</v>
      </c>
      <c r="E181" s="84" t="s">
        <v>88</v>
      </c>
      <c r="F181" s="88" t="s">
        <v>88</v>
      </c>
      <c r="G181" s="91" t="s">
        <v>88</v>
      </c>
      <c r="H181" s="83" t="s">
        <v>88</v>
      </c>
      <c r="I181" s="88" t="s">
        <v>88</v>
      </c>
      <c r="J181" s="24" t="s">
        <v>88</v>
      </c>
      <c r="K181" s="24" t="s">
        <v>88</v>
      </c>
      <c r="L181" s="24" t="s">
        <v>88</v>
      </c>
      <c r="M181" s="24" t="s">
        <v>88</v>
      </c>
    </row>
    <row r="182" spans="1:13" hidden="1">
      <c r="A182" s="24" t="s">
        <v>88</v>
      </c>
      <c r="B182" s="24" t="s">
        <v>88</v>
      </c>
      <c r="C182" s="24" t="s">
        <v>88</v>
      </c>
      <c r="D182" s="86" t="s">
        <v>88</v>
      </c>
      <c r="E182" s="84" t="s">
        <v>88</v>
      </c>
      <c r="F182" s="88" t="s">
        <v>88</v>
      </c>
      <c r="G182" s="91" t="s">
        <v>88</v>
      </c>
      <c r="H182" s="83" t="s">
        <v>88</v>
      </c>
      <c r="I182" s="88" t="s">
        <v>88</v>
      </c>
      <c r="J182" s="24" t="s">
        <v>88</v>
      </c>
      <c r="K182" s="24" t="s">
        <v>88</v>
      </c>
      <c r="L182" s="24" t="s">
        <v>88</v>
      </c>
      <c r="M182" s="24" t="s">
        <v>88</v>
      </c>
    </row>
    <row r="183" spans="1:13" hidden="1">
      <c r="A183" s="24" t="s">
        <v>88</v>
      </c>
      <c r="B183" s="24" t="s">
        <v>88</v>
      </c>
      <c r="C183" s="24" t="s">
        <v>88</v>
      </c>
      <c r="D183" s="86" t="s">
        <v>88</v>
      </c>
      <c r="E183" s="84" t="s">
        <v>88</v>
      </c>
      <c r="F183" s="88" t="s">
        <v>88</v>
      </c>
      <c r="G183" s="91" t="s">
        <v>88</v>
      </c>
      <c r="H183" s="83" t="s">
        <v>88</v>
      </c>
      <c r="I183" s="88" t="s">
        <v>88</v>
      </c>
      <c r="J183" s="24" t="s">
        <v>88</v>
      </c>
      <c r="K183" s="24" t="s">
        <v>88</v>
      </c>
      <c r="L183" s="24" t="s">
        <v>88</v>
      </c>
      <c r="M183" s="24" t="s">
        <v>88</v>
      </c>
    </row>
    <row r="184" spans="1:13" hidden="1">
      <c r="A184" s="24" t="s">
        <v>88</v>
      </c>
      <c r="B184" s="24" t="s">
        <v>88</v>
      </c>
      <c r="C184" s="24" t="s">
        <v>88</v>
      </c>
      <c r="D184" s="86" t="s">
        <v>88</v>
      </c>
      <c r="E184" s="84" t="s">
        <v>88</v>
      </c>
      <c r="F184" s="88" t="s">
        <v>88</v>
      </c>
      <c r="G184" s="91" t="s">
        <v>88</v>
      </c>
      <c r="H184" s="83" t="s">
        <v>88</v>
      </c>
      <c r="I184" s="88" t="s">
        <v>88</v>
      </c>
      <c r="J184" s="24" t="s">
        <v>88</v>
      </c>
      <c r="K184" s="24" t="s">
        <v>88</v>
      </c>
      <c r="L184" s="24" t="s">
        <v>88</v>
      </c>
      <c r="M184" s="24" t="s">
        <v>88</v>
      </c>
    </row>
    <row r="185" spans="1:13" hidden="1">
      <c r="A185" s="24" t="s">
        <v>88</v>
      </c>
      <c r="B185" s="24" t="s">
        <v>88</v>
      </c>
      <c r="C185" s="24" t="s">
        <v>88</v>
      </c>
      <c r="D185" s="86" t="s">
        <v>88</v>
      </c>
      <c r="E185" s="84" t="s">
        <v>88</v>
      </c>
      <c r="F185" s="88" t="s">
        <v>88</v>
      </c>
      <c r="G185" s="91" t="s">
        <v>88</v>
      </c>
      <c r="H185" s="83" t="s">
        <v>88</v>
      </c>
      <c r="I185" s="88" t="s">
        <v>88</v>
      </c>
      <c r="J185" s="24" t="s">
        <v>88</v>
      </c>
      <c r="K185" s="24" t="s">
        <v>88</v>
      </c>
      <c r="L185" s="24" t="s">
        <v>88</v>
      </c>
      <c r="M185" s="24" t="s">
        <v>88</v>
      </c>
    </row>
    <row r="186" spans="1:13" hidden="1">
      <c r="A186" s="24" t="s">
        <v>88</v>
      </c>
      <c r="B186" s="24" t="s">
        <v>88</v>
      </c>
      <c r="C186" s="24" t="s">
        <v>88</v>
      </c>
      <c r="D186" s="86" t="s">
        <v>88</v>
      </c>
      <c r="E186" s="84" t="s">
        <v>88</v>
      </c>
      <c r="F186" s="88" t="s">
        <v>88</v>
      </c>
      <c r="G186" s="91" t="s">
        <v>88</v>
      </c>
      <c r="H186" s="83" t="s">
        <v>88</v>
      </c>
      <c r="I186" s="88" t="s">
        <v>88</v>
      </c>
      <c r="J186" s="24" t="s">
        <v>88</v>
      </c>
      <c r="K186" s="24" t="s">
        <v>88</v>
      </c>
      <c r="L186" s="24" t="s">
        <v>88</v>
      </c>
      <c r="M186" s="24" t="s">
        <v>88</v>
      </c>
    </row>
    <row r="187" spans="1:13" hidden="1">
      <c r="A187" s="24" t="s">
        <v>88</v>
      </c>
      <c r="B187" s="24" t="s">
        <v>88</v>
      </c>
      <c r="C187" s="24" t="s">
        <v>88</v>
      </c>
      <c r="D187" s="86" t="s">
        <v>88</v>
      </c>
      <c r="E187" s="84" t="s">
        <v>88</v>
      </c>
      <c r="F187" s="88" t="s">
        <v>88</v>
      </c>
      <c r="G187" s="91" t="s">
        <v>88</v>
      </c>
      <c r="H187" s="83" t="s">
        <v>88</v>
      </c>
      <c r="I187" s="88" t="s">
        <v>88</v>
      </c>
      <c r="J187" s="24" t="s">
        <v>88</v>
      </c>
      <c r="K187" s="24" t="s">
        <v>88</v>
      </c>
      <c r="L187" s="24" t="s">
        <v>88</v>
      </c>
      <c r="M187" s="24" t="s">
        <v>88</v>
      </c>
    </row>
    <row r="188" spans="1:13" hidden="1">
      <c r="A188" s="24" t="s">
        <v>88</v>
      </c>
      <c r="B188" s="24" t="s">
        <v>88</v>
      </c>
      <c r="C188" s="24" t="s">
        <v>88</v>
      </c>
      <c r="D188" s="86" t="s">
        <v>88</v>
      </c>
      <c r="E188" s="84" t="s">
        <v>88</v>
      </c>
      <c r="F188" s="88" t="s">
        <v>88</v>
      </c>
      <c r="G188" s="91" t="s">
        <v>88</v>
      </c>
      <c r="H188" s="83" t="s">
        <v>88</v>
      </c>
      <c r="I188" s="88" t="s">
        <v>88</v>
      </c>
      <c r="J188" s="24" t="s">
        <v>88</v>
      </c>
      <c r="K188" s="24" t="s">
        <v>88</v>
      </c>
      <c r="L188" s="24" t="s">
        <v>88</v>
      </c>
      <c r="M188" s="24" t="s">
        <v>88</v>
      </c>
    </row>
    <row r="189" spans="1:13" hidden="1">
      <c r="A189" s="24" t="s">
        <v>88</v>
      </c>
      <c r="B189" s="24" t="s">
        <v>88</v>
      </c>
      <c r="C189" s="24" t="s">
        <v>88</v>
      </c>
      <c r="D189" s="86" t="s">
        <v>88</v>
      </c>
      <c r="E189" s="84" t="s">
        <v>88</v>
      </c>
      <c r="F189" s="88" t="s">
        <v>88</v>
      </c>
      <c r="G189" s="91" t="s">
        <v>88</v>
      </c>
      <c r="H189" s="83" t="s">
        <v>88</v>
      </c>
      <c r="I189" s="88" t="s">
        <v>88</v>
      </c>
      <c r="J189" s="24" t="s">
        <v>88</v>
      </c>
      <c r="K189" s="24" t="s">
        <v>88</v>
      </c>
      <c r="L189" s="24" t="s">
        <v>88</v>
      </c>
      <c r="M189" s="24" t="s">
        <v>88</v>
      </c>
    </row>
    <row r="190" spans="1:13" hidden="1">
      <c r="A190" s="24" t="s">
        <v>88</v>
      </c>
      <c r="B190" s="24" t="s">
        <v>88</v>
      </c>
      <c r="C190" s="24" t="s">
        <v>88</v>
      </c>
      <c r="D190" s="86" t="s">
        <v>88</v>
      </c>
      <c r="E190" s="84" t="s">
        <v>88</v>
      </c>
      <c r="F190" s="88" t="s">
        <v>88</v>
      </c>
      <c r="G190" s="91" t="s">
        <v>88</v>
      </c>
      <c r="H190" s="83" t="s">
        <v>88</v>
      </c>
      <c r="I190" s="88" t="s">
        <v>88</v>
      </c>
      <c r="J190" s="24" t="s">
        <v>88</v>
      </c>
      <c r="K190" s="24" t="s">
        <v>88</v>
      </c>
      <c r="L190" s="24" t="s">
        <v>88</v>
      </c>
      <c r="M190" s="24" t="s">
        <v>88</v>
      </c>
    </row>
    <row r="191" spans="1:13" hidden="1">
      <c r="A191" s="24" t="s">
        <v>88</v>
      </c>
      <c r="B191" s="24" t="s">
        <v>88</v>
      </c>
      <c r="C191" s="24" t="s">
        <v>88</v>
      </c>
      <c r="D191" s="86" t="s">
        <v>88</v>
      </c>
      <c r="E191" s="84" t="s">
        <v>88</v>
      </c>
      <c r="F191" s="88" t="s">
        <v>88</v>
      </c>
      <c r="G191" s="91" t="s">
        <v>88</v>
      </c>
      <c r="H191" s="83" t="s">
        <v>88</v>
      </c>
      <c r="I191" s="88" t="s">
        <v>88</v>
      </c>
      <c r="J191" s="24" t="s">
        <v>88</v>
      </c>
      <c r="K191" s="24" t="s">
        <v>88</v>
      </c>
      <c r="L191" s="24" t="s">
        <v>88</v>
      </c>
      <c r="M191" s="24" t="s">
        <v>88</v>
      </c>
    </row>
    <row r="192" spans="1:13" hidden="1">
      <c r="A192" s="24" t="s">
        <v>88</v>
      </c>
      <c r="B192" s="24" t="s">
        <v>88</v>
      </c>
      <c r="C192" s="24" t="s">
        <v>88</v>
      </c>
      <c r="D192" s="86" t="s">
        <v>88</v>
      </c>
      <c r="E192" s="84" t="s">
        <v>88</v>
      </c>
      <c r="F192" s="88" t="s">
        <v>88</v>
      </c>
      <c r="G192" s="91" t="s">
        <v>88</v>
      </c>
      <c r="H192" s="83" t="s">
        <v>88</v>
      </c>
      <c r="I192" s="88" t="s">
        <v>88</v>
      </c>
      <c r="J192" s="24" t="s">
        <v>88</v>
      </c>
      <c r="K192" s="24" t="s">
        <v>88</v>
      </c>
      <c r="L192" s="24" t="s">
        <v>88</v>
      </c>
      <c r="M192" s="24" t="s">
        <v>88</v>
      </c>
    </row>
    <row r="193" spans="1:13" hidden="1">
      <c r="A193" s="24" t="s">
        <v>88</v>
      </c>
      <c r="B193" s="24" t="s">
        <v>88</v>
      </c>
      <c r="C193" s="24" t="s">
        <v>88</v>
      </c>
      <c r="D193" s="86" t="s">
        <v>88</v>
      </c>
      <c r="E193" s="84" t="s">
        <v>88</v>
      </c>
      <c r="F193" s="88" t="s">
        <v>88</v>
      </c>
      <c r="G193" s="91" t="s">
        <v>88</v>
      </c>
      <c r="H193" s="83" t="s">
        <v>88</v>
      </c>
      <c r="I193" s="88" t="s">
        <v>88</v>
      </c>
      <c r="J193" s="24" t="s">
        <v>88</v>
      </c>
      <c r="K193" s="24" t="s">
        <v>88</v>
      </c>
      <c r="L193" s="24" t="s">
        <v>88</v>
      </c>
      <c r="M193" s="24" t="s">
        <v>88</v>
      </c>
    </row>
    <row r="194" spans="1:13" hidden="1">
      <c r="A194" s="24" t="s">
        <v>88</v>
      </c>
      <c r="B194" s="24" t="s">
        <v>88</v>
      </c>
      <c r="C194" s="24" t="s">
        <v>88</v>
      </c>
      <c r="D194" s="86" t="s">
        <v>88</v>
      </c>
      <c r="E194" s="84" t="s">
        <v>88</v>
      </c>
      <c r="F194" s="88" t="s">
        <v>88</v>
      </c>
      <c r="G194" s="91" t="s">
        <v>88</v>
      </c>
      <c r="H194" s="83" t="s">
        <v>88</v>
      </c>
      <c r="I194" s="88" t="s">
        <v>88</v>
      </c>
      <c r="J194" s="24" t="s">
        <v>88</v>
      </c>
      <c r="K194" s="24" t="s">
        <v>88</v>
      </c>
      <c r="L194" s="24" t="s">
        <v>88</v>
      </c>
      <c r="M194" s="24" t="s">
        <v>88</v>
      </c>
    </row>
    <row r="195" spans="1:13" hidden="1">
      <c r="A195" s="24" t="s">
        <v>88</v>
      </c>
      <c r="B195" s="24" t="s">
        <v>88</v>
      </c>
      <c r="C195" s="24" t="s">
        <v>88</v>
      </c>
      <c r="D195" s="86" t="s">
        <v>88</v>
      </c>
      <c r="E195" s="84" t="s">
        <v>88</v>
      </c>
      <c r="F195" s="88" t="s">
        <v>88</v>
      </c>
      <c r="G195" s="91" t="s">
        <v>88</v>
      </c>
      <c r="H195" s="83" t="s">
        <v>88</v>
      </c>
      <c r="I195" s="88" t="s">
        <v>88</v>
      </c>
      <c r="J195" s="24" t="s">
        <v>88</v>
      </c>
      <c r="K195" s="24" t="s">
        <v>88</v>
      </c>
      <c r="L195" s="24" t="s">
        <v>88</v>
      </c>
      <c r="M195" s="24" t="s">
        <v>88</v>
      </c>
    </row>
    <row r="196" spans="1:13" hidden="1">
      <c r="A196" s="24" t="s">
        <v>88</v>
      </c>
      <c r="B196" s="24" t="s">
        <v>88</v>
      </c>
      <c r="C196" s="24" t="s">
        <v>88</v>
      </c>
      <c r="D196" s="86" t="s">
        <v>88</v>
      </c>
      <c r="E196" s="84" t="s">
        <v>88</v>
      </c>
      <c r="F196" s="88" t="s">
        <v>88</v>
      </c>
      <c r="G196" s="91" t="s">
        <v>88</v>
      </c>
      <c r="H196" s="83" t="s">
        <v>88</v>
      </c>
      <c r="I196" s="88" t="s">
        <v>88</v>
      </c>
      <c r="J196" s="24" t="s">
        <v>88</v>
      </c>
      <c r="K196" s="24" t="s">
        <v>88</v>
      </c>
      <c r="L196" s="24" t="s">
        <v>88</v>
      </c>
      <c r="M196" s="24" t="s">
        <v>88</v>
      </c>
    </row>
    <row r="197" spans="1:13" hidden="1">
      <c r="A197" s="24" t="s">
        <v>88</v>
      </c>
      <c r="B197" s="24" t="s">
        <v>88</v>
      </c>
      <c r="C197" s="24" t="s">
        <v>88</v>
      </c>
      <c r="D197" s="86" t="s">
        <v>88</v>
      </c>
      <c r="E197" s="84" t="s">
        <v>88</v>
      </c>
      <c r="F197" s="88" t="s">
        <v>88</v>
      </c>
      <c r="G197" s="91" t="s">
        <v>88</v>
      </c>
      <c r="H197" s="83" t="s">
        <v>88</v>
      </c>
      <c r="I197" s="88" t="s">
        <v>88</v>
      </c>
      <c r="J197" s="24" t="s">
        <v>88</v>
      </c>
      <c r="K197" s="24" t="s">
        <v>88</v>
      </c>
      <c r="L197" s="24" t="s">
        <v>88</v>
      </c>
      <c r="M197" s="24" t="s">
        <v>88</v>
      </c>
    </row>
    <row r="198" spans="1:13" hidden="1">
      <c r="A198" s="24" t="s">
        <v>88</v>
      </c>
      <c r="B198" s="24" t="s">
        <v>88</v>
      </c>
      <c r="C198" s="24" t="s">
        <v>88</v>
      </c>
      <c r="D198" s="86" t="s">
        <v>88</v>
      </c>
      <c r="E198" s="84" t="s">
        <v>88</v>
      </c>
      <c r="F198" s="88" t="s">
        <v>88</v>
      </c>
      <c r="G198" s="91" t="s">
        <v>88</v>
      </c>
      <c r="H198" s="83" t="s">
        <v>88</v>
      </c>
      <c r="I198" s="88" t="s">
        <v>88</v>
      </c>
      <c r="J198" s="24" t="s">
        <v>88</v>
      </c>
      <c r="K198" s="24" t="s">
        <v>88</v>
      </c>
      <c r="L198" s="24" t="s">
        <v>88</v>
      </c>
      <c r="M198" s="24" t="s">
        <v>88</v>
      </c>
    </row>
  </sheetData>
  <autoFilter ref="A1:M198" xr:uid="{0AEDBB6B-BD16-4B33-8CC1-8281D4967915}">
    <filterColumn colId="3">
      <filters>
        <dateGroupItem year="2022" dateTimeGrouping="year"/>
      </filters>
    </filterColumn>
    <sortState xmlns:xlrd2="http://schemas.microsoft.com/office/spreadsheetml/2017/richdata2" ref="A2:M140">
      <sortCondition descending="1" ref="A1:A50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7F238-350C-44EA-ABE3-E3E39DD6B7FA}">
  <sheetPr codeName="Planilha6"/>
  <dimension ref="A1:F9"/>
  <sheetViews>
    <sheetView workbookViewId="0">
      <pane ySplit="1" topLeftCell="A2" activePane="bottomLeft" state="frozen"/>
      <selection pane="bottomLeft" activeCell="A2" sqref="A2"/>
    </sheetView>
  </sheetViews>
  <sheetFormatPr defaultRowHeight="14.5"/>
  <cols>
    <col min="1" max="1" width="24.26953125" bestFit="1" customWidth="1"/>
    <col min="2" max="2" width="14.1796875" bestFit="1" customWidth="1"/>
    <col min="3" max="3" width="13.54296875" customWidth="1"/>
    <col min="4" max="4" width="15.1796875" bestFit="1" customWidth="1"/>
    <col min="5" max="5" width="16.81640625" style="23" bestFit="1" customWidth="1"/>
    <col min="6" max="6" width="17.453125" style="23" bestFit="1" customWidth="1"/>
  </cols>
  <sheetData>
    <row r="1" spans="1:6" ht="15" thickBot="1">
      <c r="A1" s="21" t="s">
        <v>5</v>
      </c>
      <c r="B1" s="22" t="s">
        <v>104</v>
      </c>
      <c r="C1" s="22" t="s">
        <v>11</v>
      </c>
      <c r="D1" s="22" t="s">
        <v>25</v>
      </c>
      <c r="E1" s="75" t="s">
        <v>102</v>
      </c>
      <c r="F1" s="75" t="s">
        <v>103</v>
      </c>
    </row>
    <row r="2" spans="1:6">
      <c r="A2" s="146" t="s">
        <v>69</v>
      </c>
      <c r="B2" s="76" t="s">
        <v>99</v>
      </c>
      <c r="C2" s="149">
        <v>45387</v>
      </c>
      <c r="D2" s="147">
        <v>1570.8000000000002</v>
      </c>
      <c r="E2" s="23">
        <f>MONTH(C2)</f>
        <v>4</v>
      </c>
      <c r="F2" s="23">
        <f>YEAR(C2)</f>
        <v>2024</v>
      </c>
    </row>
    <row r="3" spans="1:6">
      <c r="A3" s="146" t="s">
        <v>69</v>
      </c>
      <c r="B3" s="76" t="s">
        <v>99</v>
      </c>
      <c r="C3" s="149">
        <v>44990</v>
      </c>
      <c r="D3" s="147">
        <v>1570.8000000000002</v>
      </c>
      <c r="E3" s="23">
        <f>MONTH(C3)</f>
        <v>3</v>
      </c>
      <c r="F3" s="23">
        <f>YEAR(C3)</f>
        <v>2023</v>
      </c>
    </row>
    <row r="4" spans="1:6">
      <c r="A4" s="146" t="s">
        <v>32</v>
      </c>
      <c r="B4" s="76" t="s">
        <v>99</v>
      </c>
      <c r="C4" s="149">
        <v>45181</v>
      </c>
      <c r="D4" s="147">
        <v>999.59999999999991</v>
      </c>
      <c r="E4" s="23">
        <f>MONTH(C4)</f>
        <v>9</v>
      </c>
      <c r="F4" s="23">
        <f>YEAR(C4)</f>
        <v>2023</v>
      </c>
    </row>
    <row r="5" spans="1:6">
      <c r="A5" s="146" t="s">
        <v>35</v>
      </c>
      <c r="B5" s="76" t="s">
        <v>99</v>
      </c>
      <c r="C5" s="149">
        <v>45119</v>
      </c>
      <c r="D5" s="147">
        <v>142.80000000000001</v>
      </c>
      <c r="E5" s="23">
        <f>MONTH(C5)</f>
        <v>7</v>
      </c>
      <c r="F5" s="23">
        <f>YEAR(C5)</f>
        <v>2023</v>
      </c>
    </row>
    <row r="6" spans="1:6">
      <c r="A6" s="146" t="s">
        <v>35</v>
      </c>
      <c r="B6" s="76" t="s">
        <v>99</v>
      </c>
      <c r="C6" s="149">
        <v>45037</v>
      </c>
      <c r="D6" s="147">
        <v>142.80000000000001</v>
      </c>
      <c r="E6" s="23">
        <f>MONTH(C6)</f>
        <v>4</v>
      </c>
      <c r="F6" s="23">
        <f>YEAR(C6)</f>
        <v>2023</v>
      </c>
    </row>
    <row r="7" spans="1:6">
      <c r="A7" s="146" t="s">
        <v>28</v>
      </c>
      <c r="B7" s="76"/>
      <c r="C7" s="149">
        <v>45037</v>
      </c>
      <c r="D7" s="147">
        <v>428.4</v>
      </c>
      <c r="E7" s="23">
        <f>MONTH(C7)</f>
        <v>4</v>
      </c>
      <c r="F7" s="23">
        <f>YEAR(C7)</f>
        <v>2023</v>
      </c>
    </row>
    <row r="8" spans="1:6">
      <c r="A8" s="25" t="s">
        <v>26</v>
      </c>
      <c r="B8" s="26"/>
      <c r="C8" s="9">
        <v>44938</v>
      </c>
      <c r="D8" s="20">
        <v>35</v>
      </c>
      <c r="E8" s="23">
        <f>MONTH(C8)</f>
        <v>1</v>
      </c>
      <c r="F8" s="23">
        <f>YEAR(C8)</f>
        <v>2023</v>
      </c>
    </row>
    <row r="9" spans="1:6">
      <c r="A9" s="25" t="s">
        <v>26</v>
      </c>
      <c r="B9" s="26"/>
      <c r="C9" s="9">
        <v>44938</v>
      </c>
      <c r="D9" s="20">
        <v>53</v>
      </c>
      <c r="E9" s="23">
        <f>MONTH(C9)</f>
        <v>1</v>
      </c>
      <c r="F9" s="23">
        <f>YEAR(C9)</f>
        <v>2023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A7203-2F46-4BC3-822E-A83A543CBC26}">
  <sheetPr codeName="Planilha7"/>
  <dimension ref="A1:Q143"/>
  <sheetViews>
    <sheetView workbookViewId="0"/>
  </sheetViews>
  <sheetFormatPr defaultRowHeight="14.5"/>
  <cols>
    <col min="1" max="1" width="3.1796875" style="8" customWidth="1"/>
    <col min="2" max="2" width="2.7265625" style="8" customWidth="1"/>
    <col min="3" max="3" width="10" style="99" bestFit="1" customWidth="1"/>
    <col min="4" max="4" width="12.90625" style="100" bestFit="1" customWidth="1"/>
    <col min="5" max="5" width="2.7265625" style="8" customWidth="1"/>
    <col min="6" max="6" width="5.54296875" style="8" customWidth="1"/>
    <col min="7" max="7" width="14.54296875" style="49" customWidth="1"/>
    <col min="8" max="8" width="9" style="95" bestFit="1" customWidth="1"/>
    <col min="9" max="9" width="12.90625" style="49" bestFit="1" customWidth="1"/>
    <col min="10" max="10" width="2.7265625" style="98" customWidth="1"/>
    <col min="11" max="11" width="20.1796875" style="48" bestFit="1" customWidth="1"/>
    <col min="12" max="12" width="13.81640625" style="48" customWidth="1"/>
    <col min="13" max="13" width="16.7265625" style="48" customWidth="1"/>
    <col min="14" max="14" width="10.81640625" style="48" bestFit="1" customWidth="1"/>
    <col min="15" max="15" width="9.1796875" style="48" bestFit="1" customWidth="1"/>
    <col min="16" max="16" width="15.36328125" style="23" bestFit="1" customWidth="1"/>
    <col min="17" max="17" width="3" style="99" customWidth="1"/>
    <col min="18" max="18" width="10.81640625" bestFit="1" customWidth="1"/>
    <col min="19" max="19" width="15.81640625" bestFit="1" customWidth="1"/>
    <col min="20" max="20" width="22" bestFit="1" customWidth="1"/>
    <col min="21" max="21" width="22.26953125" bestFit="1" customWidth="1"/>
    <col min="22" max="22" width="23.7265625" bestFit="1" customWidth="1"/>
  </cols>
  <sheetData>
    <row r="1" spans="7:17" ht="66.75" customHeight="1">
      <c r="G1" s="98"/>
      <c r="H1" s="101"/>
      <c r="I1" s="98"/>
      <c r="K1" s="102"/>
      <c r="L1" s="102"/>
      <c r="M1" s="102"/>
      <c r="N1" s="102"/>
      <c r="O1" s="102"/>
      <c r="P1" s="99"/>
    </row>
    <row r="2" spans="7:17">
      <c r="G2" s="92" t="s">
        <v>93</v>
      </c>
      <c r="H2" s="93" t="s">
        <v>94</v>
      </c>
      <c r="I2" t="s">
        <v>92</v>
      </c>
      <c r="K2" s="92" t="s">
        <v>5</v>
      </c>
      <c r="L2" s="92" t="s">
        <v>6</v>
      </c>
      <c r="M2" s="93" t="s">
        <v>95</v>
      </c>
      <c r="N2" s="93" t="s">
        <v>96</v>
      </c>
      <c r="O2" s="93" t="s">
        <v>93</v>
      </c>
      <c r="P2" s="23" t="s">
        <v>97</v>
      </c>
    </row>
    <row r="3" spans="7:17">
      <c r="G3">
        <v>2022</v>
      </c>
      <c r="H3" s="23">
        <v>3</v>
      </c>
      <c r="I3" s="94">
        <v>2038.0833333333333</v>
      </c>
      <c r="K3" t="s">
        <v>34</v>
      </c>
      <c r="L3" t="s">
        <v>86</v>
      </c>
      <c r="M3">
        <v>1</v>
      </c>
      <c r="N3">
        <v>3</v>
      </c>
      <c r="O3">
        <v>2022</v>
      </c>
      <c r="P3" s="96">
        <v>766.66666666666663</v>
      </c>
    </row>
    <row r="4" spans="7:17">
      <c r="G4">
        <v>2022</v>
      </c>
      <c r="H4" s="23">
        <v>4</v>
      </c>
      <c r="I4" s="94">
        <v>2038.0833333333333</v>
      </c>
      <c r="K4"/>
      <c r="L4"/>
      <c r="M4"/>
      <c r="N4"/>
      <c r="O4"/>
      <c r="P4" s="96"/>
    </row>
    <row r="5" spans="7:17">
      <c r="G5">
        <v>2022</v>
      </c>
      <c r="H5" s="23">
        <v>5</v>
      </c>
      <c r="I5" s="94">
        <v>2038.0833333333333</v>
      </c>
      <c r="K5" t="s">
        <v>34</v>
      </c>
      <c r="L5" t="s">
        <v>86</v>
      </c>
      <c r="M5">
        <v>2</v>
      </c>
      <c r="N5">
        <v>4</v>
      </c>
      <c r="O5">
        <v>2022</v>
      </c>
      <c r="P5" s="96">
        <v>766.66666666666663</v>
      </c>
    </row>
    <row r="6" spans="7:17">
      <c r="G6">
        <v>2022</v>
      </c>
      <c r="H6" s="23">
        <v>6</v>
      </c>
      <c r="I6" s="94">
        <v>1704.75</v>
      </c>
      <c r="K6"/>
      <c r="L6"/>
      <c r="M6"/>
      <c r="N6"/>
      <c r="O6"/>
      <c r="P6" s="96"/>
    </row>
    <row r="7" spans="7:17">
      <c r="G7">
        <v>2022</v>
      </c>
      <c r="H7" s="23">
        <v>7</v>
      </c>
      <c r="I7" s="94">
        <v>1454.75</v>
      </c>
      <c r="K7" t="s">
        <v>34</v>
      </c>
      <c r="L7" t="s">
        <v>86</v>
      </c>
      <c r="M7">
        <v>3</v>
      </c>
      <c r="N7">
        <v>5</v>
      </c>
      <c r="O7">
        <v>2022</v>
      </c>
      <c r="P7" s="96">
        <v>766.66666666666663</v>
      </c>
      <c r="Q7" s="8"/>
    </row>
    <row r="8" spans="7:17">
      <c r="G8">
        <v>2022</v>
      </c>
      <c r="H8" s="23">
        <v>8</v>
      </c>
      <c r="I8" s="94">
        <v>1454.75</v>
      </c>
      <c r="K8"/>
      <c r="L8"/>
      <c r="M8"/>
      <c r="N8"/>
      <c r="O8"/>
      <c r="P8" s="96"/>
      <c r="Q8" s="8"/>
    </row>
    <row r="9" spans="7:17">
      <c r="G9">
        <v>2022</v>
      </c>
      <c r="H9" s="23">
        <v>9</v>
      </c>
      <c r="I9" s="94">
        <v>1454.75</v>
      </c>
      <c r="K9" t="s">
        <v>34</v>
      </c>
      <c r="L9" t="s">
        <v>86</v>
      </c>
      <c r="M9">
        <v>4</v>
      </c>
      <c r="N9">
        <v>6</v>
      </c>
      <c r="O9">
        <v>2022</v>
      </c>
      <c r="P9" s="96">
        <v>433.33333333333331</v>
      </c>
      <c r="Q9" s="8"/>
    </row>
    <row r="10" spans="7:17">
      <c r="G10">
        <v>2022</v>
      </c>
      <c r="H10" s="23">
        <v>10</v>
      </c>
      <c r="I10" s="94">
        <v>651.75000000000011</v>
      </c>
      <c r="K10"/>
      <c r="L10"/>
      <c r="M10"/>
      <c r="N10"/>
      <c r="O10"/>
      <c r="P10" s="96"/>
      <c r="Q10" s="8"/>
    </row>
    <row r="11" spans="7:17">
      <c r="G11">
        <v>2022</v>
      </c>
      <c r="H11" s="23">
        <v>11</v>
      </c>
      <c r="I11" s="94">
        <v>651.75000000000011</v>
      </c>
      <c r="K11" t="s">
        <v>34</v>
      </c>
      <c r="L11" t="s">
        <v>86</v>
      </c>
      <c r="M11">
        <v>5</v>
      </c>
      <c r="N11">
        <v>7</v>
      </c>
      <c r="O11">
        <v>2022</v>
      </c>
      <c r="P11" s="96">
        <v>183.33333333333331</v>
      </c>
      <c r="Q11" s="8"/>
    </row>
    <row r="12" spans="7:17">
      <c r="G12">
        <v>2022</v>
      </c>
      <c r="H12" s="23">
        <v>12</v>
      </c>
      <c r="I12" s="94">
        <v>651.75000000000011</v>
      </c>
      <c r="K12"/>
      <c r="L12"/>
      <c r="M12"/>
      <c r="N12"/>
      <c r="O12"/>
      <c r="P12" s="96"/>
      <c r="Q12" s="8"/>
    </row>
    <row r="13" spans="7:17">
      <c r="G13"/>
      <c r="H13"/>
      <c r="I13" s="94"/>
      <c r="K13" t="s">
        <v>34</v>
      </c>
      <c r="L13" t="s">
        <v>86</v>
      </c>
      <c r="M13">
        <v>6</v>
      </c>
      <c r="N13">
        <v>8</v>
      </c>
      <c r="O13">
        <v>2022</v>
      </c>
      <c r="P13" s="96">
        <v>183.33333333333331</v>
      </c>
      <c r="Q13" s="8"/>
    </row>
    <row r="14" spans="7:17">
      <c r="G14">
        <v>2023</v>
      </c>
      <c r="H14" s="23">
        <v>1</v>
      </c>
      <c r="I14" s="94">
        <v>551.75</v>
      </c>
      <c r="K14"/>
      <c r="L14"/>
      <c r="M14"/>
      <c r="N14"/>
      <c r="O14"/>
      <c r="P14" s="96"/>
      <c r="Q14" s="8"/>
    </row>
    <row r="15" spans="7:17">
      <c r="G15">
        <v>2023</v>
      </c>
      <c r="H15" s="23">
        <v>2</v>
      </c>
      <c r="I15" s="94">
        <v>551.75</v>
      </c>
      <c r="J15" s="8"/>
      <c r="K15" t="s">
        <v>34</v>
      </c>
      <c r="L15" t="s">
        <v>86</v>
      </c>
      <c r="M15">
        <v>7</v>
      </c>
      <c r="N15">
        <v>9</v>
      </c>
      <c r="O15">
        <v>2022</v>
      </c>
      <c r="P15" s="96">
        <v>183.33333333333331</v>
      </c>
      <c r="Q15" s="8"/>
    </row>
    <row r="16" spans="7:17">
      <c r="G16">
        <v>2023</v>
      </c>
      <c r="H16" s="23">
        <v>4</v>
      </c>
      <c r="I16" s="94">
        <v>800</v>
      </c>
      <c r="J16" s="8"/>
      <c r="K16"/>
      <c r="L16"/>
      <c r="M16"/>
      <c r="N16"/>
      <c r="O16"/>
      <c r="P16" s="96"/>
      <c r="Q16" s="8"/>
    </row>
    <row r="17" spans="3:17">
      <c r="G17">
        <v>2023</v>
      </c>
      <c r="H17" s="23">
        <v>5</v>
      </c>
      <c r="I17" s="94">
        <v>1538</v>
      </c>
      <c r="J17" s="8"/>
      <c r="K17" t="s">
        <v>34</v>
      </c>
      <c r="L17" t="s">
        <v>86</v>
      </c>
      <c r="M17">
        <v>8</v>
      </c>
      <c r="N17">
        <v>10</v>
      </c>
      <c r="O17">
        <v>2022</v>
      </c>
      <c r="P17" s="96">
        <v>183.33333333333331</v>
      </c>
      <c r="Q17" s="8"/>
    </row>
    <row r="18" spans="3:17">
      <c r="G18">
        <v>2023</v>
      </c>
      <c r="H18" s="23">
        <v>6</v>
      </c>
      <c r="I18" s="94">
        <v>1538</v>
      </c>
      <c r="J18" s="8"/>
      <c r="K18"/>
      <c r="L18"/>
      <c r="M18"/>
      <c r="N18"/>
      <c r="O18"/>
      <c r="P18" s="96"/>
      <c r="Q18" s="8"/>
    </row>
    <row r="19" spans="3:17">
      <c r="C19" s="105" t="s">
        <v>93</v>
      </c>
      <c r="D19" s="105" t="s">
        <v>92</v>
      </c>
      <c r="G19">
        <v>2023</v>
      </c>
      <c r="H19" s="23">
        <v>7</v>
      </c>
      <c r="I19" s="94">
        <v>1538</v>
      </c>
      <c r="J19" s="8"/>
      <c r="K19" t="s">
        <v>34</v>
      </c>
      <c r="L19" t="s">
        <v>86</v>
      </c>
      <c r="M19">
        <v>9</v>
      </c>
      <c r="N19">
        <v>11</v>
      </c>
      <c r="O19">
        <v>2022</v>
      </c>
      <c r="P19" s="96">
        <v>183.33333333333331</v>
      </c>
      <c r="Q19" s="8"/>
    </row>
    <row r="20" spans="3:17">
      <c r="C20" s="103">
        <v>2022</v>
      </c>
      <c r="D20" s="104">
        <v>14138.500000000009</v>
      </c>
      <c r="G20">
        <v>2023</v>
      </c>
      <c r="H20" s="23">
        <v>8</v>
      </c>
      <c r="I20" s="94">
        <v>1538</v>
      </c>
      <c r="J20" s="8"/>
      <c r="K20"/>
      <c r="L20"/>
      <c r="M20"/>
      <c r="N20"/>
      <c r="O20"/>
      <c r="P20" s="96"/>
      <c r="Q20" s="8"/>
    </row>
    <row r="21" spans="3:17">
      <c r="C21" s="103">
        <v>2023</v>
      </c>
      <c r="D21" s="104">
        <v>10807.500000000002</v>
      </c>
      <c r="G21">
        <v>2023</v>
      </c>
      <c r="H21" s="23">
        <v>9</v>
      </c>
      <c r="I21" s="94">
        <v>738</v>
      </c>
      <c r="J21" s="8"/>
      <c r="K21" t="s">
        <v>34</v>
      </c>
      <c r="L21" t="s">
        <v>86</v>
      </c>
      <c r="M21">
        <v>10</v>
      </c>
      <c r="N21">
        <v>12</v>
      </c>
      <c r="O21">
        <v>2022</v>
      </c>
      <c r="P21" s="96">
        <v>183.33333333333331</v>
      </c>
      <c r="Q21" s="8"/>
    </row>
    <row r="22" spans="3:17">
      <c r="C22" s="103">
        <v>2024</v>
      </c>
      <c r="D22" s="104">
        <v>2039</v>
      </c>
      <c r="G22">
        <v>2023</v>
      </c>
      <c r="H22" s="23">
        <v>10</v>
      </c>
      <c r="I22" s="94">
        <v>838</v>
      </c>
      <c r="J22" s="8"/>
      <c r="K22"/>
      <c r="L22"/>
      <c r="M22"/>
      <c r="N22"/>
      <c r="O22"/>
      <c r="P22" s="96"/>
      <c r="Q22" s="8"/>
    </row>
    <row r="23" spans="3:17">
      <c r="C23" s="103"/>
      <c r="D23" s="104">
        <v>0</v>
      </c>
      <c r="G23">
        <v>2023</v>
      </c>
      <c r="H23" s="23">
        <v>11</v>
      </c>
      <c r="I23" s="94">
        <v>838</v>
      </c>
      <c r="J23" s="8"/>
      <c r="K23" t="s">
        <v>34</v>
      </c>
      <c r="L23" t="s">
        <v>86</v>
      </c>
      <c r="M23">
        <v>11</v>
      </c>
      <c r="N23">
        <v>1</v>
      </c>
      <c r="O23">
        <v>2023</v>
      </c>
      <c r="P23" s="96">
        <v>83.333333333333329</v>
      </c>
      <c r="Q23" s="8"/>
    </row>
    <row r="24" spans="3:17">
      <c r="C24" s="103" t="s">
        <v>90</v>
      </c>
      <c r="D24" s="104"/>
      <c r="G24">
        <v>2023</v>
      </c>
      <c r="H24" s="23">
        <v>12</v>
      </c>
      <c r="I24" s="94">
        <v>338</v>
      </c>
      <c r="J24" s="8"/>
      <c r="K24"/>
      <c r="L24"/>
      <c r="M24"/>
      <c r="N24"/>
      <c r="O24"/>
      <c r="P24" s="96"/>
      <c r="Q24" s="8"/>
    </row>
    <row r="25" spans="3:17">
      <c r="C25" s="103">
        <v>2025</v>
      </c>
      <c r="D25" s="104">
        <v>141</v>
      </c>
      <c r="G25"/>
      <c r="H25"/>
      <c r="I25" s="94"/>
      <c r="J25" s="8"/>
      <c r="K25" t="s">
        <v>34</v>
      </c>
      <c r="L25" t="s">
        <v>86</v>
      </c>
      <c r="M25">
        <v>12</v>
      </c>
      <c r="N25">
        <v>2</v>
      </c>
      <c r="O25">
        <v>2023</v>
      </c>
      <c r="P25" s="96">
        <v>83.333333333333329</v>
      </c>
      <c r="Q25" s="8"/>
    </row>
    <row r="26" spans="3:17">
      <c r="C26" s="106" t="s">
        <v>91</v>
      </c>
      <c r="D26" s="107">
        <v>27126.000000000011</v>
      </c>
      <c r="G26">
        <v>2024</v>
      </c>
      <c r="H26" s="23">
        <v>1</v>
      </c>
      <c r="I26" s="94">
        <v>338</v>
      </c>
      <c r="J26" s="8"/>
      <c r="K26"/>
      <c r="L26"/>
      <c r="M26"/>
      <c r="N26"/>
      <c r="O26"/>
      <c r="P26" s="96"/>
      <c r="Q26" s="8"/>
    </row>
    <row r="27" spans="3:17">
      <c r="G27">
        <v>2024</v>
      </c>
      <c r="H27">
        <v>2</v>
      </c>
      <c r="I27" s="94">
        <v>238</v>
      </c>
      <c r="K27" t="s">
        <v>34</v>
      </c>
      <c r="L27" t="s">
        <v>99</v>
      </c>
      <c r="M27">
        <v>1</v>
      </c>
      <c r="N27">
        <v>5</v>
      </c>
      <c r="O27">
        <v>2023</v>
      </c>
      <c r="P27" s="96">
        <v>238</v>
      </c>
      <c r="Q27" s="8"/>
    </row>
    <row r="28" spans="3:17">
      <c r="G28">
        <v>2024</v>
      </c>
      <c r="H28">
        <v>3</v>
      </c>
      <c r="I28" s="94">
        <v>238</v>
      </c>
      <c r="K28"/>
      <c r="L28"/>
      <c r="M28"/>
      <c r="N28"/>
      <c r="O28"/>
      <c r="P28" s="96"/>
      <c r="Q28" s="8"/>
    </row>
    <row r="29" spans="3:17">
      <c r="G29">
        <v>2024</v>
      </c>
      <c r="H29">
        <v>4</v>
      </c>
      <c r="I29" s="94">
        <v>238</v>
      </c>
      <c r="K29" t="s">
        <v>34</v>
      </c>
      <c r="L29" t="s">
        <v>99</v>
      </c>
      <c r="M29">
        <v>2</v>
      </c>
      <c r="N29">
        <v>6</v>
      </c>
      <c r="O29">
        <v>2023</v>
      </c>
      <c r="P29" s="96">
        <v>238</v>
      </c>
      <c r="Q29" s="8"/>
    </row>
    <row r="30" spans="3:17">
      <c r="G30">
        <v>2024</v>
      </c>
      <c r="H30" s="23">
        <v>6</v>
      </c>
      <c r="I30" s="94">
        <v>141</v>
      </c>
      <c r="K30"/>
      <c r="L30"/>
      <c r="M30"/>
      <c r="N30"/>
      <c r="O30"/>
      <c r="P30" s="96"/>
      <c r="Q30" s="8"/>
    </row>
    <row r="31" spans="3:17">
      <c r="G31">
        <v>2024</v>
      </c>
      <c r="H31" s="23">
        <v>7</v>
      </c>
      <c r="I31" s="94">
        <v>141</v>
      </c>
      <c r="K31" t="s">
        <v>34</v>
      </c>
      <c r="L31" t="s">
        <v>99</v>
      </c>
      <c r="M31">
        <v>3</v>
      </c>
      <c r="N31">
        <v>7</v>
      </c>
      <c r="O31">
        <v>2023</v>
      </c>
      <c r="P31" s="96">
        <v>238</v>
      </c>
      <c r="Q31" s="8"/>
    </row>
    <row r="32" spans="3:17">
      <c r="G32">
        <v>2024</v>
      </c>
      <c r="H32" s="23">
        <v>8</v>
      </c>
      <c r="I32" s="94">
        <v>141</v>
      </c>
      <c r="K32"/>
      <c r="L32"/>
      <c r="M32"/>
      <c r="N32"/>
      <c r="O32"/>
      <c r="P32" s="96"/>
      <c r="Q32" s="8"/>
    </row>
    <row r="33" spans="3:17">
      <c r="C33" s="8"/>
      <c r="D33" s="8"/>
      <c r="G33">
        <v>2024</v>
      </c>
      <c r="H33" s="23">
        <v>9</v>
      </c>
      <c r="I33" s="94">
        <v>141</v>
      </c>
      <c r="K33" t="s">
        <v>34</v>
      </c>
      <c r="L33" t="s">
        <v>99</v>
      </c>
      <c r="M33">
        <v>4</v>
      </c>
      <c r="N33">
        <v>8</v>
      </c>
      <c r="O33">
        <v>2023</v>
      </c>
      <c r="P33" s="96">
        <v>238</v>
      </c>
      <c r="Q33" s="8"/>
    </row>
    <row r="34" spans="3:17">
      <c r="C34" s="8"/>
      <c r="D34" s="8"/>
      <c r="G34">
        <v>2024</v>
      </c>
      <c r="H34" s="23">
        <v>10</v>
      </c>
      <c r="I34" s="94">
        <v>141</v>
      </c>
      <c r="K34"/>
      <c r="L34"/>
      <c r="M34"/>
      <c r="N34"/>
      <c r="O34"/>
      <c r="P34" s="96"/>
      <c r="Q34" s="8"/>
    </row>
    <row r="35" spans="3:17">
      <c r="C35" s="8"/>
      <c r="D35" s="8"/>
      <c r="G35">
        <v>2024</v>
      </c>
      <c r="H35" s="23">
        <v>11</v>
      </c>
      <c r="I35" s="94">
        <v>141</v>
      </c>
      <c r="K35" t="s">
        <v>34</v>
      </c>
      <c r="L35" t="s">
        <v>99</v>
      </c>
      <c r="M35">
        <v>5</v>
      </c>
      <c r="N35">
        <v>9</v>
      </c>
      <c r="O35">
        <v>2023</v>
      </c>
      <c r="P35" s="96">
        <v>238</v>
      </c>
      <c r="Q35" s="8"/>
    </row>
    <row r="36" spans="3:17">
      <c r="C36" s="8"/>
      <c r="D36" s="8"/>
      <c r="G36">
        <v>2024</v>
      </c>
      <c r="H36" s="23">
        <v>12</v>
      </c>
      <c r="I36" s="94">
        <v>141</v>
      </c>
      <c r="K36"/>
      <c r="L36"/>
      <c r="M36"/>
      <c r="N36"/>
      <c r="O36"/>
      <c r="P36" s="96"/>
      <c r="Q36" s="8"/>
    </row>
    <row r="37" spans="3:17">
      <c r="C37" s="8"/>
      <c r="D37" s="8"/>
      <c r="G37"/>
      <c r="H37"/>
      <c r="I37" s="94"/>
      <c r="K37" t="s">
        <v>34</v>
      </c>
      <c r="L37" t="s">
        <v>99</v>
      </c>
      <c r="M37">
        <v>6</v>
      </c>
      <c r="N37">
        <v>10</v>
      </c>
      <c r="O37">
        <v>2023</v>
      </c>
      <c r="P37" s="96">
        <v>238</v>
      </c>
      <c r="Q37" s="8"/>
    </row>
    <row r="38" spans="3:17">
      <c r="C38" s="8"/>
      <c r="D38" s="8"/>
      <c r="G38" t="s">
        <v>88</v>
      </c>
      <c r="H38" s="23"/>
      <c r="I38" s="94">
        <v>0</v>
      </c>
      <c r="K38"/>
      <c r="L38"/>
      <c r="M38"/>
      <c r="N38"/>
      <c r="O38"/>
      <c r="P38" s="96"/>
      <c r="Q38" s="8"/>
    </row>
    <row r="39" spans="3:17">
      <c r="C39" s="8"/>
      <c r="D39" s="8"/>
      <c r="G39"/>
      <c r="H39"/>
      <c r="I39" s="94"/>
      <c r="K39" t="s">
        <v>34</v>
      </c>
      <c r="L39" t="s">
        <v>99</v>
      </c>
      <c r="M39">
        <v>7</v>
      </c>
      <c r="N39">
        <v>11</v>
      </c>
      <c r="O39">
        <v>2023</v>
      </c>
      <c r="P39" s="96">
        <v>238</v>
      </c>
      <c r="Q39" s="8"/>
    </row>
    <row r="40" spans="3:17">
      <c r="C40" s="8"/>
      <c r="D40" s="8"/>
      <c r="G40" t="s">
        <v>90</v>
      </c>
      <c r="H40" s="23" t="s">
        <v>90</v>
      </c>
      <c r="I40" s="94"/>
      <c r="K40"/>
      <c r="L40"/>
      <c r="M40"/>
      <c r="N40"/>
      <c r="O40"/>
      <c r="P40" s="96"/>
      <c r="Q40" s="8"/>
    </row>
    <row r="41" spans="3:17">
      <c r="C41" s="8"/>
      <c r="D41" s="8"/>
      <c r="G41"/>
      <c r="H41"/>
      <c r="I41" s="94"/>
      <c r="K41" t="s">
        <v>34</v>
      </c>
      <c r="L41" t="s">
        <v>99</v>
      </c>
      <c r="M41">
        <v>8</v>
      </c>
      <c r="N41">
        <v>12</v>
      </c>
      <c r="O41">
        <v>2023</v>
      </c>
      <c r="P41" s="96">
        <v>238</v>
      </c>
      <c r="Q41" s="8"/>
    </row>
    <row r="42" spans="3:17">
      <c r="C42" s="8"/>
      <c r="D42" s="8"/>
      <c r="G42">
        <v>2025</v>
      </c>
      <c r="H42" s="23">
        <v>1</v>
      </c>
      <c r="I42" s="94">
        <v>141</v>
      </c>
      <c r="K42"/>
      <c r="L42"/>
      <c r="M42"/>
      <c r="N42"/>
      <c r="O42"/>
      <c r="P42" s="96"/>
      <c r="Q42" s="8"/>
    </row>
    <row r="43" spans="3:17">
      <c r="C43" s="8"/>
      <c r="D43" s="8"/>
      <c r="G43"/>
      <c r="H43"/>
      <c r="I43" s="94"/>
      <c r="K43" t="s">
        <v>34</v>
      </c>
      <c r="L43" t="s">
        <v>99</v>
      </c>
      <c r="M43">
        <v>9</v>
      </c>
      <c r="N43">
        <v>1</v>
      </c>
      <c r="O43">
        <v>2024</v>
      </c>
      <c r="P43" s="96">
        <v>238</v>
      </c>
      <c r="Q43" s="8"/>
    </row>
    <row r="44" spans="3:17">
      <c r="C44" s="8"/>
      <c r="D44" s="8"/>
      <c r="G44" s="23" t="s">
        <v>91</v>
      </c>
      <c r="H44" s="23"/>
      <c r="I44" s="94">
        <v>27126</v>
      </c>
      <c r="K44"/>
      <c r="L44"/>
      <c r="M44"/>
      <c r="N44"/>
      <c r="O44"/>
      <c r="P44" s="96"/>
      <c r="Q44" s="8"/>
    </row>
    <row r="45" spans="3:17">
      <c r="C45" s="8"/>
      <c r="D45" s="8"/>
      <c r="G45"/>
      <c r="K45" t="s">
        <v>34</v>
      </c>
      <c r="L45" t="s">
        <v>99</v>
      </c>
      <c r="M45">
        <v>10</v>
      </c>
      <c r="N45">
        <v>2</v>
      </c>
      <c r="O45">
        <v>2024</v>
      </c>
      <c r="P45" s="96">
        <v>238</v>
      </c>
      <c r="Q45" s="8"/>
    </row>
    <row r="46" spans="3:17">
      <c r="C46" s="8"/>
      <c r="D46" s="8"/>
      <c r="G46"/>
      <c r="K46"/>
      <c r="L46"/>
      <c r="M46"/>
      <c r="N46"/>
      <c r="O46"/>
      <c r="P46" s="96"/>
      <c r="Q46" s="8"/>
    </row>
    <row r="47" spans="3:17">
      <c r="C47" s="8"/>
      <c r="D47" s="8"/>
      <c r="G47"/>
      <c r="K47" t="s">
        <v>34</v>
      </c>
      <c r="L47" t="s">
        <v>99</v>
      </c>
      <c r="M47">
        <v>11</v>
      </c>
      <c r="N47">
        <v>3</v>
      </c>
      <c r="O47">
        <v>2024</v>
      </c>
      <c r="P47" s="96">
        <v>238</v>
      </c>
      <c r="Q47" s="8"/>
    </row>
    <row r="48" spans="3:17">
      <c r="C48" s="8"/>
      <c r="D48" s="8"/>
      <c r="G48"/>
      <c r="K48"/>
      <c r="L48"/>
      <c r="M48"/>
      <c r="N48"/>
      <c r="O48"/>
      <c r="P48" s="96"/>
      <c r="Q48" s="8"/>
    </row>
    <row r="49" spans="3:17">
      <c r="C49" s="8"/>
      <c r="D49" s="8"/>
      <c r="G49"/>
      <c r="K49" t="s">
        <v>34</v>
      </c>
      <c r="L49" t="s">
        <v>99</v>
      </c>
      <c r="M49">
        <v>12</v>
      </c>
      <c r="N49">
        <v>4</v>
      </c>
      <c r="O49">
        <v>2024</v>
      </c>
      <c r="P49" s="96">
        <v>238</v>
      </c>
      <c r="Q49" s="8"/>
    </row>
    <row r="50" spans="3:17">
      <c r="C50" s="8"/>
      <c r="D50" s="8"/>
      <c r="G50"/>
      <c r="K50"/>
      <c r="L50"/>
      <c r="M50"/>
      <c r="N50"/>
      <c r="O50"/>
      <c r="P50" s="96"/>
      <c r="Q50" s="8"/>
    </row>
    <row r="51" spans="3:17">
      <c r="C51" s="8"/>
      <c r="D51" s="8"/>
      <c r="G51"/>
      <c r="K51" t="s">
        <v>41</v>
      </c>
      <c r="L51" t="s">
        <v>84</v>
      </c>
      <c r="M51">
        <v>1</v>
      </c>
      <c r="N51">
        <v>3</v>
      </c>
      <c r="O51">
        <v>2022</v>
      </c>
      <c r="P51" s="96">
        <v>803</v>
      </c>
      <c r="Q51" s="8"/>
    </row>
    <row r="52" spans="3:17">
      <c r="C52" s="8"/>
      <c r="D52" s="8"/>
      <c r="G52"/>
      <c r="K52"/>
      <c r="L52"/>
      <c r="M52"/>
      <c r="N52"/>
      <c r="O52"/>
      <c r="P52" s="96"/>
      <c r="Q52" s="8"/>
    </row>
    <row r="53" spans="3:17">
      <c r="K53" t="s">
        <v>41</v>
      </c>
      <c r="L53" t="s">
        <v>84</v>
      </c>
      <c r="M53">
        <v>2</v>
      </c>
      <c r="N53">
        <v>4</v>
      </c>
      <c r="O53">
        <v>2022</v>
      </c>
      <c r="P53" s="96">
        <v>803</v>
      </c>
      <c r="Q53" s="8"/>
    </row>
    <row r="54" spans="3:17">
      <c r="K54"/>
      <c r="L54"/>
      <c r="M54"/>
      <c r="N54"/>
      <c r="O54"/>
      <c r="P54" s="96"/>
      <c r="Q54" s="8"/>
    </row>
    <row r="55" spans="3:17">
      <c r="K55" t="s">
        <v>41</v>
      </c>
      <c r="L55" t="s">
        <v>84</v>
      </c>
      <c r="M55">
        <v>3</v>
      </c>
      <c r="N55">
        <v>5</v>
      </c>
      <c r="O55">
        <v>2022</v>
      </c>
      <c r="P55" s="96">
        <v>803</v>
      </c>
      <c r="Q55" s="8"/>
    </row>
    <row r="56" spans="3:17">
      <c r="K56"/>
      <c r="L56"/>
      <c r="M56"/>
      <c r="N56"/>
      <c r="O56"/>
      <c r="P56" s="96"/>
      <c r="Q56" s="8"/>
    </row>
    <row r="57" spans="3:17">
      <c r="K57" t="s">
        <v>41</v>
      </c>
      <c r="L57" t="s">
        <v>84</v>
      </c>
      <c r="M57">
        <v>4</v>
      </c>
      <c r="N57">
        <v>6</v>
      </c>
      <c r="O57">
        <v>2022</v>
      </c>
      <c r="P57" s="96">
        <v>803</v>
      </c>
      <c r="Q57" s="8"/>
    </row>
    <row r="58" spans="3:17">
      <c r="K58"/>
      <c r="L58"/>
      <c r="M58"/>
      <c r="N58"/>
      <c r="O58"/>
      <c r="P58" s="96"/>
      <c r="Q58" s="8"/>
    </row>
    <row r="59" spans="3:17">
      <c r="K59" t="s">
        <v>41</v>
      </c>
      <c r="L59" t="s">
        <v>84</v>
      </c>
      <c r="M59">
        <v>5</v>
      </c>
      <c r="N59">
        <v>7</v>
      </c>
      <c r="O59">
        <v>2022</v>
      </c>
      <c r="P59" s="96">
        <v>803</v>
      </c>
      <c r="Q59" s="8"/>
    </row>
    <row r="60" spans="3:17">
      <c r="K60"/>
      <c r="L60"/>
      <c r="M60"/>
      <c r="N60"/>
      <c r="O60"/>
      <c r="P60" s="96"/>
      <c r="Q60" s="8"/>
    </row>
    <row r="61" spans="3:17">
      <c r="K61" t="s">
        <v>41</v>
      </c>
      <c r="L61" t="s">
        <v>84</v>
      </c>
      <c r="M61">
        <v>6</v>
      </c>
      <c r="N61">
        <v>8</v>
      </c>
      <c r="O61">
        <v>2022</v>
      </c>
      <c r="P61" s="96">
        <v>803</v>
      </c>
      <c r="Q61" s="8"/>
    </row>
    <row r="62" spans="3:17">
      <c r="K62"/>
      <c r="L62"/>
      <c r="M62"/>
      <c r="N62"/>
      <c r="O62"/>
      <c r="P62" s="96"/>
      <c r="Q62" s="8"/>
    </row>
    <row r="63" spans="3:17">
      <c r="K63" t="s">
        <v>41</v>
      </c>
      <c r="L63" t="s">
        <v>84</v>
      </c>
      <c r="M63">
        <v>7</v>
      </c>
      <c r="N63">
        <v>9</v>
      </c>
      <c r="O63">
        <v>2022</v>
      </c>
      <c r="P63" s="96">
        <v>803</v>
      </c>
      <c r="Q63" s="8"/>
    </row>
    <row r="64" spans="3:17">
      <c r="K64"/>
      <c r="L64"/>
      <c r="M64"/>
      <c r="N64"/>
      <c r="O64"/>
      <c r="P64" s="96"/>
      <c r="Q64" s="8"/>
    </row>
    <row r="65" spans="11:17">
      <c r="K65" t="s">
        <v>13</v>
      </c>
      <c r="L65" t="s">
        <v>85</v>
      </c>
      <c r="M65">
        <v>1</v>
      </c>
      <c r="N65">
        <v>3</v>
      </c>
      <c r="O65">
        <v>2022</v>
      </c>
      <c r="P65" s="96">
        <v>468.41666666666669</v>
      </c>
      <c r="Q65" s="8"/>
    </row>
    <row r="66" spans="11:17">
      <c r="K66"/>
      <c r="L66"/>
      <c r="M66"/>
      <c r="N66"/>
      <c r="O66"/>
      <c r="P66" s="96"/>
      <c r="Q66" s="8"/>
    </row>
    <row r="67" spans="11:17">
      <c r="K67" t="s">
        <v>13</v>
      </c>
      <c r="L67" t="s">
        <v>85</v>
      </c>
      <c r="M67">
        <v>2</v>
      </c>
      <c r="N67">
        <v>4</v>
      </c>
      <c r="O67">
        <v>2022</v>
      </c>
      <c r="P67" s="96">
        <v>468.41666666666669</v>
      </c>
      <c r="Q67" s="8"/>
    </row>
    <row r="68" spans="11:17">
      <c r="K68"/>
      <c r="L68"/>
      <c r="M68"/>
      <c r="N68"/>
      <c r="O68"/>
      <c r="P68" s="96"/>
      <c r="Q68" s="8"/>
    </row>
    <row r="69" spans="11:17">
      <c r="K69" t="s">
        <v>13</v>
      </c>
      <c r="L69" t="s">
        <v>85</v>
      </c>
      <c r="M69">
        <v>3</v>
      </c>
      <c r="N69">
        <v>5</v>
      </c>
      <c r="O69">
        <v>2022</v>
      </c>
      <c r="P69" s="96">
        <v>468.41666666666669</v>
      </c>
      <c r="Q69" s="8"/>
    </row>
    <row r="70" spans="11:17">
      <c r="K70"/>
      <c r="L70"/>
      <c r="M70"/>
      <c r="N70"/>
      <c r="O70"/>
      <c r="P70" s="96"/>
      <c r="Q70" s="8"/>
    </row>
    <row r="71" spans="11:17">
      <c r="K71" t="s">
        <v>13</v>
      </c>
      <c r="L71" t="s">
        <v>85</v>
      </c>
      <c r="M71">
        <v>4</v>
      </c>
      <c r="N71">
        <v>6</v>
      </c>
      <c r="O71">
        <v>2022</v>
      </c>
      <c r="P71" s="96">
        <v>468.41666666666669</v>
      </c>
      <c r="Q71" s="8"/>
    </row>
    <row r="72" spans="11:17">
      <c r="K72"/>
      <c r="L72"/>
      <c r="M72"/>
      <c r="N72"/>
      <c r="O72"/>
      <c r="P72" s="96"/>
      <c r="Q72" s="8"/>
    </row>
    <row r="73" spans="11:17">
      <c r="K73" t="s">
        <v>13</v>
      </c>
      <c r="L73" t="s">
        <v>85</v>
      </c>
      <c r="M73">
        <v>5</v>
      </c>
      <c r="N73">
        <v>7</v>
      </c>
      <c r="O73">
        <v>2022</v>
      </c>
      <c r="P73" s="96">
        <v>468.41666666666669</v>
      </c>
      <c r="Q73" s="8"/>
    </row>
    <row r="74" spans="11:17">
      <c r="K74"/>
      <c r="L74"/>
      <c r="M74"/>
      <c r="N74"/>
      <c r="O74"/>
      <c r="P74" s="96"/>
      <c r="Q74" s="8"/>
    </row>
    <row r="75" spans="11:17">
      <c r="K75" t="s">
        <v>13</v>
      </c>
      <c r="L75" t="s">
        <v>85</v>
      </c>
      <c r="M75">
        <v>6</v>
      </c>
      <c r="N75">
        <v>8</v>
      </c>
      <c r="O75">
        <v>2022</v>
      </c>
      <c r="P75" s="96">
        <v>468.41666666666669</v>
      </c>
      <c r="Q75" s="8"/>
    </row>
    <row r="76" spans="11:17">
      <c r="K76"/>
      <c r="L76"/>
      <c r="M76"/>
      <c r="N76"/>
      <c r="O76"/>
      <c r="P76" s="96"/>
      <c r="Q76" s="8"/>
    </row>
    <row r="77" spans="11:17">
      <c r="K77" t="s">
        <v>13</v>
      </c>
      <c r="L77" t="s">
        <v>85</v>
      </c>
      <c r="M77">
        <v>7</v>
      </c>
      <c r="N77">
        <v>9</v>
      </c>
      <c r="O77">
        <v>2022</v>
      </c>
      <c r="P77" s="96">
        <v>468.41666666666669</v>
      </c>
      <c r="Q77" s="8"/>
    </row>
    <row r="78" spans="11:17">
      <c r="K78"/>
      <c r="L78"/>
      <c r="M78"/>
      <c r="N78"/>
      <c r="O78"/>
      <c r="P78" s="96"/>
      <c r="Q78" s="8"/>
    </row>
    <row r="79" spans="11:17">
      <c r="K79" t="s">
        <v>13</v>
      </c>
      <c r="L79" t="s">
        <v>85</v>
      </c>
      <c r="M79">
        <v>8</v>
      </c>
      <c r="N79">
        <v>10</v>
      </c>
      <c r="O79">
        <v>2022</v>
      </c>
      <c r="P79" s="96">
        <v>468.41666666666669</v>
      </c>
      <c r="Q79" s="8"/>
    </row>
    <row r="80" spans="11:17">
      <c r="K80"/>
      <c r="L80"/>
      <c r="M80"/>
      <c r="N80"/>
      <c r="O80"/>
      <c r="P80" s="96"/>
      <c r="Q80" s="8"/>
    </row>
    <row r="81" spans="11:17">
      <c r="K81" t="s">
        <v>13</v>
      </c>
      <c r="L81" t="s">
        <v>85</v>
      </c>
      <c r="M81">
        <v>9</v>
      </c>
      <c r="N81">
        <v>11</v>
      </c>
      <c r="O81">
        <v>2022</v>
      </c>
      <c r="P81" s="96">
        <v>468.41666666666669</v>
      </c>
      <c r="Q81" s="8"/>
    </row>
    <row r="82" spans="11:17">
      <c r="K82"/>
      <c r="L82"/>
      <c r="M82"/>
      <c r="N82"/>
      <c r="O82"/>
      <c r="P82" s="96"/>
      <c r="Q82" s="8"/>
    </row>
    <row r="83" spans="11:17">
      <c r="K83" t="s">
        <v>13</v>
      </c>
      <c r="L83" t="s">
        <v>85</v>
      </c>
      <c r="M83">
        <v>10</v>
      </c>
      <c r="N83">
        <v>12</v>
      </c>
      <c r="O83">
        <v>2022</v>
      </c>
      <c r="P83" s="96">
        <v>468.41666666666669</v>
      </c>
      <c r="Q83" s="8"/>
    </row>
    <row r="84" spans="11:17">
      <c r="K84"/>
      <c r="L84"/>
      <c r="M84"/>
      <c r="N84"/>
      <c r="O84"/>
      <c r="P84" s="96"/>
      <c r="Q84" s="8"/>
    </row>
    <row r="85" spans="11:17">
      <c r="K85" t="s">
        <v>13</v>
      </c>
      <c r="L85" t="s">
        <v>85</v>
      </c>
      <c r="M85">
        <v>11</v>
      </c>
      <c r="N85">
        <v>1</v>
      </c>
      <c r="O85">
        <v>2023</v>
      </c>
      <c r="P85" s="96">
        <v>468.41666666666669</v>
      </c>
      <c r="Q85" s="8"/>
    </row>
    <row r="86" spans="11:17">
      <c r="K86"/>
      <c r="L86"/>
      <c r="M86"/>
      <c r="N86"/>
      <c r="O86"/>
      <c r="P86" s="96"/>
      <c r="Q86" s="8"/>
    </row>
    <row r="87" spans="11:17">
      <c r="K87" t="s">
        <v>13</v>
      </c>
      <c r="L87" t="s">
        <v>85</v>
      </c>
      <c r="M87">
        <v>12</v>
      </c>
      <c r="N87">
        <v>2</v>
      </c>
      <c r="O87">
        <v>2023</v>
      </c>
      <c r="P87" s="96">
        <v>468.41666666666669</v>
      </c>
      <c r="Q87" s="8"/>
    </row>
    <row r="88" spans="11:17">
      <c r="K88"/>
      <c r="L88"/>
      <c r="M88"/>
      <c r="N88"/>
      <c r="O88"/>
      <c r="P88" s="96"/>
      <c r="Q88" s="8"/>
    </row>
    <row r="89" spans="11:17">
      <c r="K89" t="s">
        <v>48</v>
      </c>
      <c r="L89" t="s">
        <v>87</v>
      </c>
      <c r="M89">
        <v>1</v>
      </c>
      <c r="N89">
        <v>4</v>
      </c>
      <c r="O89">
        <v>2023</v>
      </c>
      <c r="P89" s="96">
        <v>800</v>
      </c>
      <c r="Q89" s="8"/>
    </row>
    <row r="90" spans="11:17">
      <c r="K90"/>
      <c r="L90"/>
      <c r="M90"/>
      <c r="N90"/>
      <c r="O90"/>
      <c r="P90" s="96"/>
      <c r="Q90" s="8"/>
    </row>
    <row r="91" spans="11:17">
      <c r="K91" t="s">
        <v>48</v>
      </c>
      <c r="L91" t="s">
        <v>87</v>
      </c>
      <c r="M91">
        <v>2</v>
      </c>
      <c r="N91">
        <v>5</v>
      </c>
      <c r="O91">
        <v>2023</v>
      </c>
      <c r="P91" s="96">
        <v>800</v>
      </c>
      <c r="Q91" s="8"/>
    </row>
    <row r="92" spans="11:17">
      <c r="K92"/>
      <c r="L92"/>
      <c r="M92"/>
      <c r="N92"/>
      <c r="O92"/>
      <c r="P92" s="96"/>
      <c r="Q92" s="8"/>
    </row>
    <row r="93" spans="11:17">
      <c r="K93" t="s">
        <v>48</v>
      </c>
      <c r="L93" t="s">
        <v>87</v>
      </c>
      <c r="M93">
        <v>3</v>
      </c>
      <c r="N93">
        <v>6</v>
      </c>
      <c r="O93">
        <v>2023</v>
      </c>
      <c r="P93" s="96">
        <v>800</v>
      </c>
      <c r="Q93" s="8"/>
    </row>
    <row r="94" spans="11:17">
      <c r="K94"/>
      <c r="L94"/>
      <c r="M94"/>
      <c r="N94"/>
      <c r="O94"/>
      <c r="P94" s="96"/>
      <c r="Q94" s="8"/>
    </row>
    <row r="95" spans="11:17">
      <c r="K95" t="s">
        <v>48</v>
      </c>
      <c r="L95" t="s">
        <v>87</v>
      </c>
      <c r="M95">
        <v>4</v>
      </c>
      <c r="N95">
        <v>7</v>
      </c>
      <c r="O95">
        <v>2023</v>
      </c>
      <c r="P95" s="96">
        <v>800</v>
      </c>
      <c r="Q95" s="8"/>
    </row>
    <row r="96" spans="11:17">
      <c r="K96"/>
      <c r="L96"/>
      <c r="M96"/>
      <c r="N96"/>
      <c r="O96"/>
      <c r="P96" s="96"/>
      <c r="Q96" s="8"/>
    </row>
    <row r="97" spans="11:17">
      <c r="K97" t="s">
        <v>48</v>
      </c>
      <c r="L97" t="s">
        <v>87</v>
      </c>
      <c r="M97">
        <v>5</v>
      </c>
      <c r="N97">
        <v>8</v>
      </c>
      <c r="O97">
        <v>2023</v>
      </c>
      <c r="P97" s="96">
        <v>800</v>
      </c>
      <c r="Q97" s="8"/>
    </row>
    <row r="98" spans="11:17">
      <c r="K98"/>
      <c r="L98"/>
      <c r="M98"/>
      <c r="N98"/>
      <c r="O98"/>
      <c r="P98" s="96"/>
      <c r="Q98" s="8"/>
    </row>
    <row r="99" spans="11:17">
      <c r="K99" t="s">
        <v>48</v>
      </c>
      <c r="L99" t="s">
        <v>87</v>
      </c>
      <c r="M99">
        <v>7</v>
      </c>
      <c r="N99">
        <v>10</v>
      </c>
      <c r="O99">
        <v>2023</v>
      </c>
      <c r="P99" s="96">
        <v>100</v>
      </c>
      <c r="Q99" s="8"/>
    </row>
    <row r="100" spans="11:17">
      <c r="K100"/>
      <c r="L100"/>
      <c r="M100"/>
      <c r="N100"/>
      <c r="O100"/>
      <c r="P100" s="96"/>
      <c r="Q100" s="8"/>
    </row>
    <row r="101" spans="11:17">
      <c r="K101" t="s">
        <v>48</v>
      </c>
      <c r="L101" t="s">
        <v>87</v>
      </c>
      <c r="M101">
        <v>8</v>
      </c>
      <c r="N101">
        <v>11</v>
      </c>
      <c r="O101">
        <v>2023</v>
      </c>
      <c r="P101" s="96">
        <v>100</v>
      </c>
      <c r="Q101" s="8"/>
    </row>
    <row r="102" spans="11:17">
      <c r="K102"/>
      <c r="L102"/>
      <c r="M102"/>
      <c r="N102"/>
      <c r="O102"/>
      <c r="P102" s="96"/>
      <c r="Q102" s="8"/>
    </row>
    <row r="103" spans="11:17">
      <c r="K103" t="s">
        <v>48</v>
      </c>
      <c r="L103" t="s">
        <v>87</v>
      </c>
      <c r="M103">
        <v>9</v>
      </c>
      <c r="N103">
        <v>12</v>
      </c>
      <c r="O103">
        <v>2023</v>
      </c>
      <c r="P103" s="96">
        <v>100</v>
      </c>
      <c r="Q103" s="8"/>
    </row>
    <row r="104" spans="11:17">
      <c r="K104"/>
      <c r="L104"/>
      <c r="M104"/>
      <c r="N104"/>
      <c r="O104"/>
      <c r="P104" s="96"/>
      <c r="Q104" s="8"/>
    </row>
    <row r="105" spans="11:17">
      <c r="K105" t="s">
        <v>48</v>
      </c>
      <c r="L105" t="s">
        <v>87</v>
      </c>
      <c r="M105">
        <v>10</v>
      </c>
      <c r="N105">
        <v>1</v>
      </c>
      <c r="O105">
        <v>2024</v>
      </c>
      <c r="P105" s="96">
        <v>100</v>
      </c>
      <c r="Q105" s="8"/>
    </row>
    <row r="106" spans="11:17">
      <c r="K106"/>
      <c r="L106"/>
      <c r="M106"/>
      <c r="N106"/>
      <c r="O106"/>
      <c r="P106" s="96"/>
      <c r="Q106" s="8"/>
    </row>
    <row r="107" spans="11:17">
      <c r="K107" t="s">
        <v>12</v>
      </c>
      <c r="L107" t="s">
        <v>89</v>
      </c>
      <c r="M107">
        <v>1</v>
      </c>
      <c r="N107">
        <v>5</v>
      </c>
      <c r="O107">
        <v>2023</v>
      </c>
      <c r="P107" s="96">
        <v>500</v>
      </c>
    </row>
    <row r="108" spans="11:17">
      <c r="K108"/>
      <c r="L108"/>
      <c r="M108"/>
      <c r="N108"/>
      <c r="O108"/>
      <c r="P108" s="96"/>
    </row>
    <row r="109" spans="11:17">
      <c r="K109" t="s">
        <v>12</v>
      </c>
      <c r="L109" t="s">
        <v>89</v>
      </c>
      <c r="M109">
        <v>2</v>
      </c>
      <c r="N109">
        <v>6</v>
      </c>
      <c r="O109">
        <v>2023</v>
      </c>
      <c r="P109" s="96">
        <v>500</v>
      </c>
    </row>
    <row r="110" spans="11:17">
      <c r="K110"/>
      <c r="L110"/>
      <c r="M110"/>
      <c r="N110"/>
      <c r="O110"/>
      <c r="P110" s="96"/>
    </row>
    <row r="111" spans="11:17">
      <c r="K111" t="s">
        <v>12</v>
      </c>
      <c r="L111" t="s">
        <v>89</v>
      </c>
      <c r="M111">
        <v>3</v>
      </c>
      <c r="N111">
        <v>7</v>
      </c>
      <c r="O111">
        <v>2023</v>
      </c>
      <c r="P111" s="96">
        <v>500</v>
      </c>
    </row>
    <row r="112" spans="11:17">
      <c r="K112"/>
      <c r="L112"/>
      <c r="M112"/>
      <c r="N112"/>
      <c r="O112"/>
      <c r="P112" s="96"/>
    </row>
    <row r="113" spans="11:16">
      <c r="K113" t="s">
        <v>12</v>
      </c>
      <c r="L113" t="s">
        <v>89</v>
      </c>
      <c r="M113">
        <v>4</v>
      </c>
      <c r="N113">
        <v>8</v>
      </c>
      <c r="O113">
        <v>2023</v>
      </c>
      <c r="P113" s="96">
        <v>500</v>
      </c>
    </row>
    <row r="114" spans="11:16">
      <c r="K114"/>
      <c r="L114"/>
      <c r="M114"/>
      <c r="N114"/>
      <c r="O114"/>
      <c r="P114" s="96"/>
    </row>
    <row r="115" spans="11:16">
      <c r="K115" t="s">
        <v>12</v>
      </c>
      <c r="L115" t="s">
        <v>89</v>
      </c>
      <c r="M115">
        <v>5</v>
      </c>
      <c r="N115">
        <v>9</v>
      </c>
      <c r="O115">
        <v>2023</v>
      </c>
      <c r="P115" s="96">
        <v>500</v>
      </c>
    </row>
    <row r="116" spans="11:16">
      <c r="K116"/>
      <c r="L116"/>
      <c r="M116"/>
      <c r="N116"/>
      <c r="O116"/>
      <c r="P116" s="96"/>
    </row>
    <row r="117" spans="11:16">
      <c r="K117" t="s">
        <v>12</v>
      </c>
      <c r="L117" t="s">
        <v>89</v>
      </c>
      <c r="M117">
        <v>6</v>
      </c>
      <c r="N117">
        <v>10</v>
      </c>
      <c r="O117">
        <v>2023</v>
      </c>
      <c r="P117" s="96">
        <v>500</v>
      </c>
    </row>
    <row r="118" spans="11:16">
      <c r="K118"/>
      <c r="L118"/>
      <c r="M118"/>
      <c r="N118"/>
      <c r="O118"/>
      <c r="P118" s="96"/>
    </row>
    <row r="119" spans="11:16">
      <c r="K119" t="s">
        <v>12</v>
      </c>
      <c r="L119" t="s">
        <v>89</v>
      </c>
      <c r="M119">
        <v>7</v>
      </c>
      <c r="N119">
        <v>11</v>
      </c>
      <c r="O119">
        <v>2023</v>
      </c>
      <c r="P119" s="96">
        <v>500</v>
      </c>
    </row>
    <row r="120" spans="11:16">
      <c r="K120"/>
      <c r="L120"/>
      <c r="M120"/>
      <c r="N120"/>
      <c r="O120"/>
      <c r="P120" s="96"/>
    </row>
    <row r="121" spans="11:16">
      <c r="K121" t="s">
        <v>12</v>
      </c>
      <c r="L121" t="s">
        <v>98</v>
      </c>
      <c r="M121">
        <v>1</v>
      </c>
      <c r="N121">
        <v>6</v>
      </c>
      <c r="O121">
        <v>2024</v>
      </c>
      <c r="P121" s="96">
        <v>141</v>
      </c>
    </row>
    <row r="122" spans="11:16">
      <c r="K122"/>
      <c r="L122"/>
      <c r="M122"/>
      <c r="N122"/>
      <c r="O122"/>
      <c r="P122" s="96"/>
    </row>
    <row r="123" spans="11:16">
      <c r="K123" t="s">
        <v>12</v>
      </c>
      <c r="L123" t="s">
        <v>98</v>
      </c>
      <c r="M123">
        <v>2</v>
      </c>
      <c r="N123">
        <v>7</v>
      </c>
      <c r="O123">
        <v>2024</v>
      </c>
      <c r="P123" s="96">
        <v>141</v>
      </c>
    </row>
    <row r="124" spans="11:16">
      <c r="K124"/>
      <c r="L124"/>
      <c r="M124"/>
      <c r="N124"/>
      <c r="O124"/>
      <c r="P124" s="96"/>
    </row>
    <row r="125" spans="11:16">
      <c r="K125" t="s">
        <v>12</v>
      </c>
      <c r="L125" t="s">
        <v>98</v>
      </c>
      <c r="M125">
        <v>3</v>
      </c>
      <c r="N125">
        <v>8</v>
      </c>
      <c r="O125">
        <v>2024</v>
      </c>
      <c r="P125" s="96">
        <v>141</v>
      </c>
    </row>
    <row r="126" spans="11:16">
      <c r="K126"/>
      <c r="L126"/>
      <c r="M126"/>
      <c r="N126"/>
      <c r="O126"/>
      <c r="P126" s="96"/>
    </row>
    <row r="127" spans="11:16">
      <c r="K127" t="s">
        <v>12</v>
      </c>
      <c r="L127" t="s">
        <v>98</v>
      </c>
      <c r="M127">
        <v>4</v>
      </c>
      <c r="N127">
        <v>9</v>
      </c>
      <c r="O127">
        <v>2024</v>
      </c>
      <c r="P127" s="96">
        <v>141</v>
      </c>
    </row>
    <row r="128" spans="11:16">
      <c r="K128"/>
      <c r="L128"/>
      <c r="M128"/>
      <c r="N128"/>
      <c r="O128"/>
      <c r="P128" s="96"/>
    </row>
    <row r="129" spans="11:16">
      <c r="K129" t="s">
        <v>12</v>
      </c>
      <c r="L129" t="s">
        <v>98</v>
      </c>
      <c r="M129">
        <v>5</v>
      </c>
      <c r="N129">
        <v>10</v>
      </c>
      <c r="O129">
        <v>2024</v>
      </c>
      <c r="P129" s="96">
        <v>141</v>
      </c>
    </row>
    <row r="130" spans="11:16">
      <c r="K130"/>
      <c r="L130"/>
      <c r="M130"/>
      <c r="N130"/>
      <c r="O130"/>
      <c r="P130" s="96"/>
    </row>
    <row r="131" spans="11:16">
      <c r="K131" t="s">
        <v>12</v>
      </c>
      <c r="L131" t="s">
        <v>98</v>
      </c>
      <c r="M131">
        <v>6</v>
      </c>
      <c r="N131">
        <v>11</v>
      </c>
      <c r="O131">
        <v>2024</v>
      </c>
      <c r="P131" s="96">
        <v>141</v>
      </c>
    </row>
    <row r="132" spans="11:16">
      <c r="K132"/>
      <c r="L132"/>
      <c r="M132"/>
      <c r="N132"/>
      <c r="O132"/>
      <c r="P132" s="96"/>
    </row>
    <row r="133" spans="11:16">
      <c r="K133" t="s">
        <v>12</v>
      </c>
      <c r="L133" t="s">
        <v>98</v>
      </c>
      <c r="M133">
        <v>7</v>
      </c>
      <c r="N133">
        <v>12</v>
      </c>
      <c r="O133">
        <v>2024</v>
      </c>
      <c r="P133" s="96">
        <v>141</v>
      </c>
    </row>
    <row r="134" spans="11:16">
      <c r="K134"/>
      <c r="L134"/>
      <c r="M134"/>
      <c r="N134"/>
      <c r="O134"/>
      <c r="P134" s="96"/>
    </row>
    <row r="135" spans="11:16">
      <c r="K135" t="s">
        <v>12</v>
      </c>
      <c r="L135" t="s">
        <v>98</v>
      </c>
      <c r="M135">
        <v>8</v>
      </c>
      <c r="N135">
        <v>1</v>
      </c>
      <c r="O135">
        <v>2025</v>
      </c>
      <c r="P135" s="96">
        <v>141</v>
      </c>
    </row>
    <row r="136" spans="11:16">
      <c r="K136"/>
      <c r="L136"/>
      <c r="M136"/>
      <c r="N136"/>
      <c r="O136"/>
      <c r="P136" s="96"/>
    </row>
    <row r="137" spans="11:16">
      <c r="K137" t="s">
        <v>90</v>
      </c>
      <c r="L137" t="s">
        <v>90</v>
      </c>
      <c r="M137" t="s">
        <v>90</v>
      </c>
      <c r="N137" t="s">
        <v>90</v>
      </c>
      <c r="O137" t="s">
        <v>90</v>
      </c>
      <c r="P137" s="96"/>
    </row>
    <row r="138" spans="11:16">
      <c r="K138"/>
      <c r="L138"/>
      <c r="M138"/>
      <c r="N138"/>
      <c r="O138"/>
      <c r="P138" s="96"/>
    </row>
    <row r="139" spans="11:16">
      <c r="K139" t="s">
        <v>91</v>
      </c>
      <c r="L139"/>
      <c r="M139"/>
      <c r="N139"/>
      <c r="O139"/>
      <c r="P139" s="96">
        <v>27126</v>
      </c>
    </row>
    <row r="140" spans="11:16">
      <c r="M140" s="23"/>
      <c r="N140" s="23"/>
      <c r="O140" s="23"/>
    </row>
    <row r="141" spans="11:16">
      <c r="M141" s="23"/>
      <c r="N141" s="23"/>
      <c r="O141" s="23"/>
    </row>
    <row r="142" spans="11:16">
      <c r="M142" s="23"/>
      <c r="N142" s="23"/>
      <c r="O142" s="23"/>
    </row>
    <row r="143" spans="11:16">
      <c r="M143" s="23"/>
      <c r="N143" s="23"/>
      <c r="O143" s="23"/>
    </row>
  </sheetData>
  <pageMargins left="0.7" right="0.7" top="0.75" bottom="0.75" header="0.3" footer="0.3"/>
  <pageSetup paperSize="9" orientation="portrait" r:id="rId4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7CF89-8D41-4602-BC45-004577D89E60}">
  <sheetPr codeName="Planilha5"/>
  <dimension ref="A1:N18"/>
  <sheetViews>
    <sheetView showGridLines="0" topLeftCell="D1" zoomScaleNormal="100" workbookViewId="0"/>
  </sheetViews>
  <sheetFormatPr defaultRowHeight="14.5"/>
  <cols>
    <col min="1" max="1" width="3.1796875" customWidth="1"/>
    <col min="2" max="2" width="2.7265625" customWidth="1"/>
    <col min="3" max="3" width="27.1796875" style="78" customWidth="1"/>
    <col min="4" max="4" width="2.1796875" style="127" customWidth="1"/>
    <col min="5" max="5" width="28.81640625" style="78" customWidth="1"/>
    <col min="6" max="6" width="2.26953125" style="129" customWidth="1"/>
    <col min="7" max="8" width="17.453125" bestFit="1" customWidth="1"/>
    <col min="9" max="9" width="24.7265625" bestFit="1" customWidth="1"/>
    <col min="10" max="10" width="2.1796875" style="129" customWidth="1"/>
    <col min="11" max="11" width="16.26953125" style="23" bestFit="1" customWidth="1"/>
    <col min="12" max="12" width="25" bestFit="1" customWidth="1"/>
    <col min="13" max="13" width="10.26953125" bestFit="1" customWidth="1"/>
    <col min="14" max="14" width="22.26953125" bestFit="1" customWidth="1"/>
    <col min="15" max="15" width="14" customWidth="1"/>
    <col min="16" max="16" width="23.7265625" bestFit="1" customWidth="1"/>
    <col min="17" max="17" width="2.54296875" customWidth="1"/>
  </cols>
  <sheetData>
    <row r="1" spans="1:14" ht="54" customHeight="1" thickBot="1">
      <c r="A1" s="1"/>
    </row>
    <row r="2" spans="1:14" ht="19" thickBot="1">
      <c r="A2" s="1"/>
      <c r="C2" s="108"/>
      <c r="D2" s="128"/>
      <c r="G2" s="117" t="s">
        <v>20</v>
      </c>
      <c r="H2" s="117" t="s">
        <v>19</v>
      </c>
      <c r="I2" s="123" t="s">
        <v>101</v>
      </c>
      <c r="K2" s="111" t="s">
        <v>11</v>
      </c>
      <c r="L2" s="130" t="s">
        <v>5</v>
      </c>
      <c r="M2" s="130" t="s">
        <v>6</v>
      </c>
      <c r="N2" s="114" t="s">
        <v>100</v>
      </c>
    </row>
    <row r="3" spans="1:14" ht="15" thickBot="1">
      <c r="A3" s="1"/>
      <c r="G3" s="118">
        <v>2022</v>
      </c>
      <c r="H3" s="123">
        <v>2</v>
      </c>
      <c r="I3" s="124">
        <v>15242.000000000009</v>
      </c>
      <c r="K3" s="131">
        <v>44606</v>
      </c>
      <c r="L3" s="115" t="s">
        <v>34</v>
      </c>
      <c r="M3" s="114" t="s">
        <v>86</v>
      </c>
      <c r="N3" s="109">
        <v>3999.9999999999995</v>
      </c>
    </row>
    <row r="4" spans="1:14" ht="15" thickBot="1">
      <c r="A4" s="1"/>
      <c r="G4" s="119">
        <v>2023</v>
      </c>
      <c r="H4" s="118">
        <v>3</v>
      </c>
      <c r="I4" s="125">
        <v>4400</v>
      </c>
      <c r="K4" s="132">
        <v>44606</v>
      </c>
      <c r="L4" s="135" t="s">
        <v>41</v>
      </c>
      <c r="M4" s="114" t="s">
        <v>84</v>
      </c>
      <c r="N4" s="110">
        <v>5621</v>
      </c>
    </row>
    <row r="5" spans="1:14" ht="15" thickBot="1">
      <c r="A5" s="1"/>
      <c r="G5" s="119">
        <v>2023</v>
      </c>
      <c r="H5" s="120">
        <v>4</v>
      </c>
      <c r="I5" s="125">
        <v>6356</v>
      </c>
      <c r="K5" s="132">
        <v>44606</v>
      </c>
      <c r="L5" s="116" t="s">
        <v>13</v>
      </c>
      <c r="M5" s="114" t="s">
        <v>85</v>
      </c>
      <c r="N5" s="110">
        <v>5621.0000000000009</v>
      </c>
    </row>
    <row r="6" spans="1:14" ht="15" thickBot="1">
      <c r="A6" s="1"/>
      <c r="G6" s="120">
        <v>2024</v>
      </c>
      <c r="H6" s="123">
        <v>5</v>
      </c>
      <c r="I6" s="125">
        <v>1128</v>
      </c>
      <c r="K6" s="132">
        <v>45000</v>
      </c>
      <c r="L6" s="114" t="s">
        <v>48</v>
      </c>
      <c r="M6" s="114" t="s">
        <v>87</v>
      </c>
      <c r="N6" s="110">
        <v>4400</v>
      </c>
    </row>
    <row r="7" spans="1:14" ht="16" thickBot="1">
      <c r="A7" s="1"/>
      <c r="G7" s="121" t="s">
        <v>91</v>
      </c>
      <c r="H7" s="122"/>
      <c r="I7" s="126">
        <v>27126.000000000007</v>
      </c>
      <c r="K7" s="132">
        <v>45028</v>
      </c>
      <c r="L7" s="114" t="s">
        <v>12</v>
      </c>
      <c r="M7" s="114" t="s">
        <v>89</v>
      </c>
      <c r="N7" s="110">
        <v>3500</v>
      </c>
    </row>
    <row r="8" spans="1:14" ht="15" thickBot="1">
      <c r="A8" s="1"/>
      <c r="K8" s="132">
        <v>45037</v>
      </c>
      <c r="L8" s="114" t="s">
        <v>34</v>
      </c>
      <c r="M8" s="114" t="s">
        <v>99</v>
      </c>
      <c r="N8" s="110">
        <v>2856</v>
      </c>
    </row>
    <row r="9" spans="1:14" ht="16" thickBot="1">
      <c r="A9" s="1"/>
      <c r="K9" s="133">
        <v>45443</v>
      </c>
      <c r="L9" s="114" t="s">
        <v>12</v>
      </c>
      <c r="M9" s="114" t="s">
        <v>98</v>
      </c>
      <c r="N9" s="110">
        <v>1128</v>
      </c>
    </row>
    <row r="10" spans="1:14" ht="19" thickBot="1">
      <c r="A10" s="1"/>
      <c r="K10" s="112" t="s">
        <v>91</v>
      </c>
      <c r="L10" s="134"/>
      <c r="M10" s="113"/>
      <c r="N10" s="136">
        <v>27126</v>
      </c>
    </row>
    <row r="11" spans="1:14">
      <c r="A11" s="1"/>
    </row>
    <row r="12" spans="1:14">
      <c r="A12" s="1"/>
    </row>
    <row r="13" spans="1:14">
      <c r="A13" s="1"/>
    </row>
    <row r="14" spans="1:14">
      <c r="A14" s="1"/>
    </row>
    <row r="15" spans="1:14">
      <c r="A15" s="1"/>
    </row>
    <row r="16" spans="1:14">
      <c r="A16" s="1"/>
    </row>
    <row r="17" spans="1:1">
      <c r="A17" s="1"/>
    </row>
    <row r="18" spans="1:1">
      <c r="A18" s="1"/>
    </row>
  </sheetData>
  <phoneticPr fontId="7" type="noConversion"/>
  <pageMargins left="0.7" right="0.7" top="0.75" bottom="0.75" header="0.3" footer="0.3"/>
  <pageSetup paperSize="9" scale="69" orientation="landscape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9E2FE-EB31-4E62-A7BE-C79364F5C725}">
  <sheetPr codeName="Planilha8"/>
  <dimension ref="A1:Q19"/>
  <sheetViews>
    <sheetView showGridLines="0" workbookViewId="0"/>
  </sheetViews>
  <sheetFormatPr defaultRowHeight="14.5"/>
  <cols>
    <col min="1" max="1" width="3.1796875" style="3" customWidth="1"/>
    <col min="2" max="2" width="2.7265625" style="3" customWidth="1"/>
    <col min="3" max="3" width="26.08984375" style="3" bestFit="1" customWidth="1"/>
    <col min="4" max="4" width="15.453125" style="3" bestFit="1" customWidth="1"/>
    <col min="5" max="5" width="2.6328125" style="78" customWidth="1"/>
    <col min="6" max="6" width="2.90625" style="3" customWidth="1"/>
    <col min="7" max="7" width="26.08984375" style="3" bestFit="1" customWidth="1"/>
    <col min="8" max="8" width="12.26953125" style="3" bestFit="1" customWidth="1"/>
    <col min="9" max="9" width="16.6328125" style="3" bestFit="1" customWidth="1"/>
    <col min="10" max="10" width="10.26953125" style="3" bestFit="1" customWidth="1"/>
    <col min="11" max="11" width="17.7265625" style="3" bestFit="1" customWidth="1"/>
    <col min="12" max="17" width="9" style="3" customWidth="1"/>
    <col min="18" max="16384" width="8.7265625" style="3"/>
  </cols>
  <sheetData>
    <row r="1" spans="1:17" ht="54" customHeight="1">
      <c r="A1" s="2"/>
      <c r="B1" s="4"/>
      <c r="C1" s="152"/>
      <c r="D1" s="152"/>
      <c r="E1" s="158"/>
      <c r="F1" s="2"/>
      <c r="G1" s="152"/>
      <c r="H1" s="152"/>
      <c r="I1" s="152"/>
      <c r="J1" s="152"/>
      <c r="K1" s="152"/>
      <c r="L1" s="2"/>
      <c r="M1" s="2"/>
      <c r="N1" s="2"/>
      <c r="O1" s="152"/>
      <c r="P1" s="152"/>
      <c r="Q1" s="153"/>
    </row>
    <row r="2" spans="1:17" ht="18.5">
      <c r="A2" s="2"/>
      <c r="B2" s="4"/>
      <c r="E2" s="158"/>
      <c r="F2" s="2"/>
      <c r="G2" s="143" t="s">
        <v>5</v>
      </c>
      <c r="H2" s="155" t="s">
        <v>103</v>
      </c>
      <c r="I2" s="145" t="s">
        <v>102</v>
      </c>
      <c r="J2" s="143" t="s">
        <v>104</v>
      </c>
      <c r="K2" s="3" t="s">
        <v>106</v>
      </c>
      <c r="L2" s="2"/>
      <c r="M2" s="2"/>
      <c r="N2" s="157"/>
      <c r="O2" s="154"/>
      <c r="P2" s="154"/>
      <c r="Q2" s="153"/>
    </row>
    <row r="3" spans="1:17">
      <c r="A3" s="2"/>
      <c r="B3" s="4"/>
      <c r="E3" s="158"/>
      <c r="F3" s="2"/>
      <c r="G3" s="3" t="s">
        <v>26</v>
      </c>
      <c r="H3" s="3">
        <v>2023</v>
      </c>
      <c r="I3" s="3">
        <v>1</v>
      </c>
      <c r="J3" s="3" t="s">
        <v>90</v>
      </c>
      <c r="K3" s="144">
        <v>88</v>
      </c>
      <c r="L3" s="2"/>
      <c r="M3" s="2"/>
      <c r="N3" s="2"/>
      <c r="O3" s="152"/>
      <c r="P3" s="152"/>
      <c r="Q3" s="153"/>
    </row>
    <row r="4" spans="1:17">
      <c r="A4" s="2"/>
      <c r="B4" s="4"/>
      <c r="E4" s="158"/>
      <c r="F4" s="2"/>
      <c r="K4" s="144"/>
      <c r="L4" s="2"/>
      <c r="M4" s="2"/>
      <c r="N4" s="2"/>
      <c r="O4" s="152"/>
      <c r="P4" s="152"/>
      <c r="Q4" s="153"/>
    </row>
    <row r="5" spans="1:17">
      <c r="A5" s="2"/>
      <c r="B5" s="4"/>
      <c r="E5" s="158"/>
      <c r="F5" s="2"/>
      <c r="G5" s="3" t="s">
        <v>28</v>
      </c>
      <c r="H5" s="3">
        <v>2023</v>
      </c>
      <c r="I5" s="3">
        <v>4</v>
      </c>
      <c r="J5" s="3" t="s">
        <v>90</v>
      </c>
      <c r="K5" s="144">
        <v>428.4</v>
      </c>
      <c r="L5" s="2"/>
      <c r="M5" s="2"/>
      <c r="N5" s="2"/>
      <c r="O5" s="152"/>
      <c r="P5" s="152"/>
      <c r="Q5" s="153"/>
    </row>
    <row r="6" spans="1:17">
      <c r="A6" s="2"/>
      <c r="B6" s="4"/>
      <c r="E6" s="158"/>
      <c r="F6" s="2"/>
      <c r="K6" s="144"/>
      <c r="L6" s="2"/>
      <c r="M6" s="2"/>
      <c r="N6" s="2"/>
      <c r="O6" s="152"/>
      <c r="P6" s="152"/>
      <c r="Q6" s="153"/>
    </row>
    <row r="7" spans="1:17">
      <c r="A7" s="2"/>
      <c r="B7" s="4"/>
      <c r="E7" s="158"/>
      <c r="F7" s="2"/>
      <c r="G7" s="3" t="s">
        <v>32</v>
      </c>
      <c r="H7" s="3">
        <v>2023</v>
      </c>
      <c r="I7" s="3">
        <v>9</v>
      </c>
      <c r="J7" s="3" t="s">
        <v>99</v>
      </c>
      <c r="K7" s="144">
        <v>999.59999999999991</v>
      </c>
      <c r="L7" s="2"/>
      <c r="M7" s="2"/>
      <c r="N7" s="2"/>
      <c r="O7" s="152"/>
      <c r="P7" s="152"/>
      <c r="Q7" s="153"/>
    </row>
    <row r="8" spans="1:17">
      <c r="A8" s="2"/>
      <c r="B8" s="4"/>
      <c r="E8" s="158"/>
      <c r="F8" s="2"/>
      <c r="K8" s="144"/>
      <c r="L8" s="2"/>
      <c r="M8" s="2"/>
      <c r="N8" s="2"/>
      <c r="O8" s="152"/>
      <c r="P8" s="152"/>
      <c r="Q8" s="153"/>
    </row>
    <row r="9" spans="1:17">
      <c r="A9" s="2"/>
      <c r="B9" s="4"/>
      <c r="E9" s="158"/>
      <c r="F9" s="2"/>
      <c r="G9" s="3" t="s">
        <v>35</v>
      </c>
      <c r="H9" s="3">
        <v>2023</v>
      </c>
      <c r="I9" s="3">
        <v>4</v>
      </c>
      <c r="J9" s="3" t="s">
        <v>99</v>
      </c>
      <c r="K9" s="144">
        <v>142.80000000000001</v>
      </c>
      <c r="L9" s="2"/>
      <c r="M9" s="2"/>
      <c r="N9" s="2"/>
      <c r="O9" s="152"/>
      <c r="P9" s="152"/>
      <c r="Q9" s="153"/>
    </row>
    <row r="10" spans="1:17">
      <c r="A10" s="2"/>
      <c r="B10" s="4"/>
      <c r="E10" s="158"/>
      <c r="F10" s="2"/>
      <c r="G10" s="3" t="s">
        <v>35</v>
      </c>
      <c r="H10" s="3">
        <v>2023</v>
      </c>
      <c r="I10" s="3">
        <v>7</v>
      </c>
      <c r="J10" s="3" t="s">
        <v>99</v>
      </c>
      <c r="K10" s="144">
        <v>142.80000000000001</v>
      </c>
      <c r="L10" s="2"/>
      <c r="M10" s="2"/>
      <c r="N10" s="2"/>
      <c r="O10" s="152"/>
      <c r="P10" s="152"/>
      <c r="Q10" s="153"/>
    </row>
    <row r="11" spans="1:17">
      <c r="A11" s="2"/>
      <c r="B11" s="4"/>
      <c r="E11" s="158"/>
      <c r="F11" s="2"/>
      <c r="K11" s="144"/>
      <c r="L11" s="2"/>
      <c r="M11" s="2"/>
      <c r="N11" s="2"/>
      <c r="O11" s="152"/>
      <c r="P11" s="152"/>
      <c r="Q11" s="153"/>
    </row>
    <row r="12" spans="1:17">
      <c r="A12" s="2"/>
      <c r="B12" s="4"/>
      <c r="E12" s="158"/>
      <c r="F12" s="2"/>
      <c r="G12" s="3" t="s">
        <v>69</v>
      </c>
      <c r="H12" s="3">
        <v>2023</v>
      </c>
      <c r="I12" s="3">
        <v>3</v>
      </c>
      <c r="J12" s="3" t="s">
        <v>99</v>
      </c>
      <c r="K12" s="144">
        <v>1570.8000000000002</v>
      </c>
      <c r="L12" s="152"/>
      <c r="M12" s="152"/>
      <c r="N12" s="152"/>
      <c r="O12" s="152"/>
      <c r="P12" s="152"/>
      <c r="Q12" s="153"/>
    </row>
    <row r="13" spans="1:17">
      <c r="A13" s="2"/>
      <c r="B13" s="4"/>
      <c r="E13" s="158"/>
      <c r="F13" s="2"/>
      <c r="G13" s="3" t="s">
        <v>69</v>
      </c>
      <c r="H13" s="3">
        <v>2024</v>
      </c>
      <c r="I13" s="3">
        <v>4</v>
      </c>
      <c r="J13" s="3" t="s">
        <v>99</v>
      </c>
      <c r="K13" s="144">
        <v>1570.8000000000002</v>
      </c>
      <c r="L13" s="152"/>
      <c r="M13" s="152"/>
      <c r="N13" s="152"/>
      <c r="O13" s="152"/>
      <c r="P13" s="152"/>
      <c r="Q13" s="153"/>
    </row>
    <row r="14" spans="1:17">
      <c r="A14" s="2"/>
      <c r="B14" s="4"/>
      <c r="E14" s="158"/>
      <c r="F14" s="2"/>
      <c r="K14" s="144"/>
      <c r="L14" s="152"/>
      <c r="M14" s="152"/>
      <c r="N14" s="152"/>
      <c r="O14" s="152"/>
      <c r="P14" s="152"/>
      <c r="Q14" s="153"/>
    </row>
    <row r="15" spans="1:17">
      <c r="A15" s="2"/>
      <c r="B15" s="4"/>
      <c r="E15" s="158"/>
      <c r="F15" s="2"/>
      <c r="G15" s="3" t="s">
        <v>91</v>
      </c>
      <c r="K15" s="144">
        <v>4943.2000000000007</v>
      </c>
      <c r="L15" s="152"/>
      <c r="M15" s="152"/>
      <c r="N15" s="152"/>
      <c r="O15" s="152"/>
      <c r="P15" s="152"/>
      <c r="Q15" s="153"/>
    </row>
    <row r="16" spans="1:17">
      <c r="A16" s="2"/>
      <c r="B16" s="156"/>
      <c r="C16" s="156"/>
      <c r="D16" s="156"/>
      <c r="E16" s="156"/>
      <c r="F16" s="153"/>
      <c r="G16" s="153"/>
      <c r="H16" s="153"/>
      <c r="I16" s="153"/>
      <c r="J16" s="153"/>
      <c r="K16" s="153"/>
      <c r="L16" s="153"/>
      <c r="M16" s="153"/>
      <c r="N16" s="153"/>
      <c r="O16" s="153"/>
      <c r="P16" s="153"/>
      <c r="Q16" s="153"/>
    </row>
    <row r="17" spans="1:17">
      <c r="A17" s="2"/>
      <c r="B17" s="156"/>
      <c r="C17" s="156"/>
      <c r="D17" s="156"/>
      <c r="E17" s="156"/>
      <c r="F17" s="153"/>
      <c r="G17" s="153"/>
      <c r="H17" s="153"/>
      <c r="I17" s="153"/>
      <c r="J17" s="153"/>
      <c r="K17" s="153"/>
      <c r="L17" s="153"/>
      <c r="M17" s="153"/>
      <c r="N17" s="153"/>
      <c r="O17" s="153"/>
      <c r="P17" s="153"/>
      <c r="Q17" s="153"/>
    </row>
    <row r="18" spans="1:17">
      <c r="A18" s="2"/>
      <c r="B18" s="156"/>
      <c r="C18" s="156"/>
      <c r="D18" s="156"/>
      <c r="E18" s="156"/>
      <c r="F18" s="153"/>
      <c r="G18" s="153"/>
      <c r="H18" s="153"/>
      <c r="I18" s="153"/>
      <c r="J18" s="153"/>
      <c r="K18" s="153"/>
      <c r="L18" s="153"/>
      <c r="M18" s="153"/>
      <c r="N18" s="153"/>
      <c r="O18" s="153"/>
      <c r="P18" s="153"/>
      <c r="Q18" s="153"/>
    </row>
    <row r="19" spans="1:17">
      <c r="B19" s="156"/>
      <c r="C19" s="156"/>
      <c r="D19" s="156"/>
      <c r="E19" s="156"/>
      <c r="F19" s="153"/>
      <c r="G19" s="153"/>
      <c r="H19" s="153"/>
      <c r="I19" s="153"/>
      <c r="J19" s="153"/>
      <c r="K19" s="153"/>
      <c r="L19" s="153"/>
      <c r="M19" s="153"/>
      <c r="N19" s="153"/>
      <c r="O19" s="153"/>
      <c r="P19" s="153"/>
      <c r="Q19" s="153"/>
    </row>
  </sheetData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MENU</vt:lpstr>
      <vt:lpstr>DADOS CLIENTES</vt:lpstr>
      <vt:lpstr>DADOS FUNCIONÁRIOS</vt:lpstr>
      <vt:lpstr>SERVIÇOS</vt:lpstr>
      <vt:lpstr>DADOS VENDAS</vt:lpstr>
      <vt:lpstr>COMISSÕES</vt:lpstr>
      <vt:lpstr>RESUMOS PAGAMENTOS</vt:lpstr>
      <vt:lpstr>RESUMO SERVICOS</vt:lpstr>
      <vt:lpstr>RESUMOS COMISSÕES</vt:lpstr>
      <vt:lpstr>'RESUMO SERVICOS'!Area_de_impressao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Luana</dc:creator>
  <cp:lastModifiedBy>Luana</cp:lastModifiedBy>
  <dcterms:created xsi:type="dcterms:W3CDTF">2015-06-05T18:19:34Z</dcterms:created>
  <dcterms:modified xsi:type="dcterms:W3CDTF">2023-06-28T23:34:24Z</dcterms:modified>
</cp:coreProperties>
</file>